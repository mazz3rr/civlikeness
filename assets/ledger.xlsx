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dger" sheetId="1" r:id="rId5"/>
  </sheets>
  <definedNames>
    <definedName hidden="1" localSheetId="0" name="_xlnm._FilterDatabase">ledger!$A$7:$P$51</definedName>
  </definedNames>
  <calcPr/>
</workbook>
</file>

<file path=xl/sharedStrings.xml><?xml version="1.0" encoding="utf-8"?>
<sst xmlns="http://schemas.openxmlformats.org/spreadsheetml/2006/main" count="175" uniqueCount="130">
  <si>
    <t>Civ-likeness Rating System</t>
  </si>
  <si>
    <t>A Civ-like is a game in which the player, as a persistent collective identity (P6a), converts a minimal foothold on an initially unknown, finite, world-scale map (P1) into a self-authored network of productive nodes whose cultivation is the game's center of gravity (P2, P3), across a long, discretely-paced timeline (P7) whose research ladder continually rewrites the rules (P4) — in parallel competition with peers doing the same (P5) — with several non-equivalent routes to a declared victory and a total polity (P6b).</t>
  </si>
  <si>
    <t>A finite, initially hidden, world-scale map (the commons).</t>
  </si>
  <si>
    <t>Generative expansion 
- planting seeds, not just occupying space.</t>
  </si>
  <si>
    <t>An interior economy as the center of gravity.</t>
  </si>
  <si>
    <t>An epochal progression ladder.</t>
  </si>
  <si>
    <t>Parallel peer competitors.</t>
  </si>
  <si>
    <t>The player as the civilization itself. You are persistent collective with a bounded arc.</t>
  </si>
  <si>
    <t>A bounded arc with plural endings. The polity is modeled totally, so victory is plural.</t>
  </si>
  <si>
    <t>Temporal form.</t>
  </si>
  <si>
    <t>Chassis pillars / House pillars</t>
  </si>
  <si>
    <t>The game opens in ignorance; information itself is a resource extracted by scouting. And crucially, the map runs out. Space is a commons that fills up, which is the engine that converts the early positive-sum expansion phase into zero-sum friction. A game with an effectively infinite frontier (or no frontier at all) is not Civ-like, no matter what else it has.</t>
  </si>
  <si>
    <t>The player's empire is authored, not inherited: you found new cities/colonies/planets, discrete persistent nodes that are each a small self-improving engine. The empire is a network you build, and most of its value is manufactured by you rather than seized pre-made.</t>
  </si>
  <si>
    <t>The majority of player attention goes into developing what one already owns — improving terrain, growing populations, queuing infrastructure, tuning yields. The Civ-like is substantially a solitaire optimization game with rivals orbiting it; war is one lever among several, and often not the dominant one. This is what separates it from a wargame with a build menu</t>
  </si>
  <si>
    <t>The tech tree is arguably the single most Civ-defining structure after the map itself: it makes time a second axis of competition and continually rewrites the game's vocabulary — what units exist, what actions mean, what "strong" looks like. The session is a journey through ages in which the rules themselves change underneath the players. Many games have maps; the Civ-like has epochs.</t>
  </si>
  <si>
    <t>Several roughly symmetrical polities, starting comparably small, running the same verbs with the same ambitions, rising and stagnating on their own trajectories. This makes it an ecosystem with diplomacy, not a scripted campaign against an authored antagonist.</t>
  </si>
  <si>
    <t>You are an immortal abstraction ("the Romans," "the Psilons") whose agency spans millennia; units, cities, even leaders are disposable instruments. And because the game models a polity totally — research, culture, economy, faith, diplomacy, military as coequal subsystems — victory is plural: extermination is one legitimate teleology among science, culture, diplomacy, score. The session is a closed narrative arc: tiny foothold → sprawling empire → declared outcome.</t>
  </si>
  <si>
    <t>Your time in game has a scale, arc and rhythm.</t>
  </si>
  <si>
    <t>Clauses: initially unknown; finite; contested commons; diegetic spatial scale (deficits price, surpluses don't bonus); fixed authored maps price −0.5 at high quality; generated maps price better than mirrored arenas on discovery; resource-commons without territory prices below territorial commons.</t>
  </si>
  <si>
    <t>Planting, not seizing; authored network; developed nodes; minimal-foothold arc (one-node/inherited starts price here). Acquisition tier, five members: diplomatic, dynastic, military, military-ritual, commercial — all 3.0. present-but-suppressed founding - the verb exists, the design deliberately discourages it - above pure acquisition, below generative tiers. Founding wall</t>
  </si>
  <si>
    <t>Center of gravity = developing what one owns; solitaire optimizer; evolving wide/deep dial. Degeneracy shapes: ICS, corruption-wall, global wall, age-reset, concentration tilt, army-management tilit, negotiator-inversion, character-layer inversion, war-fuel, gravity-sharing</t>
  </si>
  <si>
    <t>(A) time as competition; (B) vocabulary rewrites; (C) society re-encoding — climbable AND swappable. Ladder-shape taxonomy: frozen · commitment · shallow-swappable · frozen-with-exits · bestowed · transformation· swappable-with-friction · swappable (full strength)</t>
  </si>
  <si>
    <t>Symmetric access to the game's own verbs; trajectories; diplomacy architecture; AI at equal-rules reference; no re-charging absences priced elsewhere (double-jeopardy ruling).</t>
  </si>
  <si>
    <t>The collective subject. Leak-detector. Severity ladder: 5.0 pure collective · 4.5 single person-leak · 4.0 substitutive relay + leveling leader  or theocratic fusion · 3.5 person-within-collective / person-as-subject · 3.0 person-primary + corporate credit · 2.0 persons-inverted · 1.0 micro-collective · 0 none.  Ingredient-vs-architecture law: the same person-layer prices −0.5 as organ, −1.0 as identity-substitution organ, −2.0 as architecture.</t>
  </si>
  <si>
    <t>Total polity, plural endings. P6b = (polity + endings)/2. Polity half: research/culture/economy/faith/diplomacy/military modeled as subsystems. Endings half: plural, non-equivalent, emergent teleologies</t>
  </si>
  <si>
    <t>P7 = (discreteness + diegetic timescale)/2. Compression-collapse law. Discreteness sub-scale: asynchronous/simultaneous turns 5 · active-pause ticks 2.5 (orders issuable while stopped) · suspension-pause continuous 0.5 (freeze only — discretizes attention, not action).</t>
  </si>
  <si>
    <t>Chassis (P1+P2+P3+P4+P6a+P7, /30) = the operational clauses — what the player does, with what, in what, as what, in what kind of time: the map (P1), the foothold→network conversion (P2), the cultivation economy (P3), the ladder (P4), the subject's form (P6a), the time-substrate (P7). How the game runs. 
House (P5+P6b, /10) = the relational clauses — with whom (P5: peers) and for what (P6b: plural declared endings, plus the institutional interiority that makes the collective a civilization rather than a war-machine — the coequality clause). Who the play is with, and what it is for.</t>
  </si>
  <si>
    <t>Q-field (quarter-precision total, derived from unrounded P6b/P7 components)</t>
  </si>
  <si>
    <t>War-Share. Levels: Core / Substantial / Peripheral / Absent.</t>
  </si>
  <si>
    <t>Game</t>
  </si>
  <si>
    <t>P1 Map</t>
  </si>
  <si>
    <t>P2 Expansion</t>
  </si>
  <si>
    <t>P3 Economy</t>
  </si>
  <si>
    <t>P4 Ladder</t>
  </si>
  <si>
    <t>P5 Peers (H)</t>
  </si>
  <si>
    <t>P6a Abstraction</t>
  </si>
  <si>
    <t>P6b Polity/Endings (H)</t>
  </si>
  <si>
    <t>P7 Time</t>
  </si>
  <si>
    <t>Ch/H</t>
  </si>
  <si>
    <t>Total</t>
  </si>
  <si>
    <t>Q</t>
  </si>
  <si>
    <t>%</t>
  </si>
  <si>
    <t>WS</t>
  </si>
  <si>
    <t>Civ4 (2005, BtS)</t>
  </si>
  <si>
    <t>30.0/10.0</t>
  </si>
  <si>
    <t>S</t>
  </si>
  <si>
    <t>Civ6 (2016, GS)</t>
  </si>
  <si>
    <t>29.5/9.5</t>
  </si>
  <si>
    <t>Civ3 (2001, Conquests)</t>
  </si>
  <si>
    <t>29.5/9.0</t>
  </si>
  <si>
    <t>Civ5 (2010, BNW)</t>
  </si>
  <si>
    <t>29.0/9.5</t>
  </si>
  <si>
    <t>Alpha Centauri (1999, SMAX)</t>
  </si>
  <si>
    <t>29.5/8.5</t>
  </si>
  <si>
    <t>Call to Power II (2000, retail final)</t>
  </si>
  <si>
    <t>Galactic Civilizations 2 (2006–08, Twilight)</t>
  </si>
  <si>
    <t>28.5/9.5</t>
  </si>
  <si>
    <t>Civ2 (1996)</t>
  </si>
  <si>
    <t>29.5/8.0</t>
  </si>
  <si>
    <t>Old World (2021, 7 DLC)</t>
  </si>
  <si>
    <t>28.5/9.0</t>
  </si>
  <si>
    <t>Humankind (2021, TWR)</t>
  </si>
  <si>
    <t>29.0/8.5</t>
  </si>
  <si>
    <t>P</t>
  </si>
  <si>
    <t>Civ1 (1991)</t>
  </si>
  <si>
    <t>29.5/7.5</t>
  </si>
  <si>
    <t>Call to Power (1999, v1.2)</t>
  </si>
  <si>
    <t>Civ7 (2025, current)</t>
  </si>
  <si>
    <t>28.0/9.0</t>
  </si>
  <si>
    <t>Endless Legend (2014, Symbiosis)</t>
  </si>
  <si>
    <t>29.0/8.0</t>
  </si>
  <si>
    <t>Beyond Earth (2014, +RT)</t>
  </si>
  <si>
    <t>Stellaris (2016–current)</t>
  </si>
  <si>
    <t>28.5/8.5</t>
  </si>
  <si>
    <t>Galactic Civilizations 3 (2014–19, Retribution)</t>
  </si>
  <si>
    <t>28.0/8.5</t>
  </si>
  <si>
    <t>MOO2 (1996)</t>
  </si>
  <si>
    <t>27.5/8.5</t>
  </si>
  <si>
    <t>Galactic Civilizations 4 (2022–current, Supernova)</t>
  </si>
  <si>
    <t>MOO1 (1993)</t>
  </si>
  <si>
    <t>27.5/8.0</t>
  </si>
  <si>
    <t>Master of Magic (1994, CoM)</t>
  </si>
  <si>
    <t>26.5/8.0</t>
  </si>
  <si>
    <t>Colonization (1994)</t>
  </si>
  <si>
    <t>27.0/7.5</t>
  </si>
  <si>
    <t>Age of Wonders 4 (2023–current)</t>
  </si>
  <si>
    <t>25.0/7.5</t>
  </si>
  <si>
    <t>C</t>
  </si>
  <si>
    <t>Anno 1800 (2019–2022)</t>
  </si>
  <si>
    <t>25.5/6.5</t>
  </si>
  <si>
    <t>Age of Wonders 3 (2014)</t>
  </si>
  <si>
    <t>24.0/7.5</t>
  </si>
  <si>
    <t>Age of Wonders: Shadow Magic (2003)</t>
  </si>
  <si>
    <t>23.5/7.0</t>
  </si>
  <si>
    <t>Dominions 6 (2024–current, 6.37)</t>
  </si>
  <si>
    <t>EU4 (2013–2025, final)</t>
  </si>
  <si>
    <t>21.5/8.5</t>
  </si>
  <si>
    <t>Total War: Warhammer III (2022, IE + 9.0)</t>
  </si>
  <si>
    <t>20.5/6.5</t>
  </si>
  <si>
    <t>CK3 (2020–2026)</t>
  </si>
  <si>
    <t>19.0/8.0</t>
  </si>
  <si>
    <t>EVE Online (current)</t>
  </si>
  <si>
    <t>20.0/6.5</t>
  </si>
  <si>
    <t>Age of Empires II: DE (2019–current)</t>
  </si>
  <si>
    <t>20.0/6.0</t>
  </si>
  <si>
    <t>Heroes of Might &amp; Magic III (1999, Complete)</t>
  </si>
  <si>
    <t>20.5/5.5</t>
  </si>
  <si>
    <t>Conquest of Elysium 5 (2021–current)</t>
  </si>
  <si>
    <t>20.0/5.0</t>
  </si>
  <si>
    <t>Offworld Trading Company (2016, final)</t>
  </si>
  <si>
    <t>19.5/5.0</t>
  </si>
  <si>
    <t>A</t>
  </si>
  <si>
    <t>StarCraft II (melee, vs-AI)</t>
  </si>
  <si>
    <t>19.0/5.0</t>
  </si>
  <si>
    <t>Warlords III (1997–98, + DLR)</t>
  </si>
  <si>
    <t>18.5/5.5</t>
  </si>
  <si>
    <t>Warcraft III: TFT (2003, melee vs-AI)</t>
  </si>
  <si>
    <t>18.5/5.0</t>
  </si>
  <si>
    <t>SimCity 4 (2003, Deluxe+641)</t>
  </si>
  <si>
    <t>19.5/1.0</t>
  </si>
  <si>
    <t>Football Manager 26 (final)</t>
  </si>
  <si>
    <t>13.0/6.5</t>
  </si>
  <si>
    <t>XCOM 2 (2017, WotC)</t>
  </si>
  <si>
    <t>17.0/2.5</t>
  </si>
  <si>
    <t>The Sims 4 (live)</t>
  </si>
  <si>
    <t>14.5/1.0</t>
  </si>
  <si>
    <t>Into the Breach (2018, AE)</t>
  </si>
  <si>
    <t>5.5/0.5</t>
  </si>
  <si>
    <t>Doom (1993, Ultimate)</t>
  </si>
  <si>
    <t>2.5/0.5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</si>
</sst>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2">
    <font>
      <sz val="10.0"/>
      <color rgb="FF000000"/>
      <name val="Arial"/>
      <scheme val="minor"/>
    </font>
    <font>
      <b/>
      <sz val="15.0"/>
      <color rgb="FF252523"/>
      <name val="Arial"/>
    </font>
    <font>
      <i/>
      <sz val="15.0"/>
      <color rgb="FF252523"/>
      <name val="Arial"/>
    </font>
    <font>
      <sz val="15.0"/>
      <color rgb="FF252523"/>
      <name val="Arial"/>
    </font>
    <font>
      <b/>
      <sz val="8.0"/>
      <color rgb="FF252523"/>
      <name val="Arial"/>
    </font>
    <font>
      <i/>
      <sz val="12.0"/>
      <color theme="1"/>
      <name val="Arial"/>
      <scheme val="minor"/>
    </font>
    <font>
      <i/>
      <sz val="8.0"/>
      <color theme="1"/>
      <name val="Arial"/>
      <scheme val="minor"/>
    </font>
    <font>
      <i/>
      <sz val="12.0"/>
      <color rgb="FF252523"/>
      <name val="BaselGrotesk"/>
    </font>
    <font>
      <i/>
      <sz val="12.0"/>
      <color rgb="FF252523"/>
      <name val="Arial"/>
    </font>
    <font>
      <b/>
      <i/>
      <sz val="12.0"/>
      <color theme="1"/>
      <name val="BaselGrotesk"/>
    </font>
    <font>
      <i/>
      <sz val="12.0"/>
      <color theme="1"/>
      <name val="BaselGrotesk"/>
    </font>
    <font>
      <b/>
      <i/>
      <sz val="8.0"/>
      <color theme="1"/>
      <name val="BaselGrotesk"/>
    </font>
    <font>
      <i/>
      <color rgb="FF252523"/>
      <name val="BaselGrotesk"/>
    </font>
    <font>
      <i/>
      <color rgb="FF252523"/>
      <name val="Arial"/>
    </font>
    <font>
      <i/>
      <sz val="9.0"/>
      <color theme="1"/>
      <name val="Arial"/>
    </font>
    <font>
      <b/>
      <i/>
      <color theme="1"/>
      <name val="BaselGrotesk"/>
    </font>
    <font>
      <i/>
      <color theme="1"/>
      <name val="BaselGrotesk"/>
    </font>
    <font>
      <i/>
      <color theme="1"/>
      <name val="Arial"/>
      <scheme val="minor"/>
    </font>
    <font>
      <i/>
      <sz val="9.0"/>
      <color rgb="FF252523"/>
      <name val="BaselGrotesk"/>
    </font>
    <font>
      <i/>
      <sz val="9.0"/>
      <color rgb="FF252523"/>
      <name val="Arial"/>
    </font>
    <font>
      <i/>
      <sz val="9.0"/>
      <color theme="1"/>
      <name val="BaselGrotesk"/>
    </font>
    <font>
      <b/>
      <i/>
      <sz val="9.0"/>
      <color theme="1"/>
      <name val="BaselGrotesk"/>
    </font>
    <font>
      <i/>
      <sz val="9.0"/>
      <color theme="1"/>
      <name val="Arial"/>
      <scheme val="minor"/>
    </font>
    <font>
      <i/>
      <sz val="8.0"/>
      <color theme="1"/>
      <name val="Arial"/>
    </font>
    <font>
      <b/>
      <color rgb="FF252523"/>
      <name val="BaselGrotesk"/>
    </font>
    <font>
      <b/>
      <color theme="1"/>
      <name val="BaselGrotesk"/>
    </font>
    <font>
      <color theme="1"/>
      <name val="BaselGrotesk"/>
    </font>
    <font>
      <b/>
      <sz val="8.0"/>
      <color theme="1"/>
      <name val="BaselGrotesk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b/>
      <color rgb="FF252523"/>
      <name val="Arial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b/>
      <sz val="10.0"/>
      <color theme="1"/>
      <name val="Arial"/>
    </font>
    <font>
      <color rgb="FF2E2B29"/>
      <name val="BaselGrotesk"/>
    </font>
    <font>
      <b/>
      <color rgb="FF2E2B29"/>
      <name val="BaselGrotesk"/>
    </font>
    <font>
      <i/>
      <color rgb="FF2E2B29"/>
      <name val="BaselGrotesk"/>
    </font>
    <font>
      <b/>
      <sz val="8.0"/>
      <color rgb="FF2E2B29"/>
      <name val="Arial"/>
    </font>
    <font>
      <sz val="8.0"/>
      <color theme="1"/>
      <name val="Arial"/>
      <scheme val="minor"/>
    </font>
    <font>
      <color rgb="FF2E2B29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bottom style="thin">
        <color rgb="FFE1DEDB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0" fillId="2" fontId="1" numFmtId="164" xfId="0" applyAlignment="1" applyFill="1" applyFont="1" applyNumberFormat="1">
      <alignment horizontal="left" readingOrder="0" shrinkToFit="0" vertical="bottom" wrapText="1"/>
    </xf>
    <xf borderId="0" fillId="2" fontId="2" numFmtId="2" xfId="0" applyAlignment="1" applyFill="1" applyFont="1" applyNumberFormat="1">
      <alignment horizontal="left" readingOrder="0" shrinkToFit="0" vertical="bottom" wrapText="1"/>
    </xf>
    <xf borderId="0" fillId="2" fontId="3" numFmtId="10" xfId="0" applyAlignment="1" applyFill="1" applyFont="1" applyNumberFormat="1">
      <alignment horizontal="left" readingOrder="0" shrinkToFit="0" vertical="bottom" wrapText="1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0" fillId="0" fontId="6" numFmtId="164" xfId="0" applyAlignment="1" applyFont="1" applyNumberFormat="1">
      <alignment shrinkToFit="0" wrapText="1"/>
    </xf>
    <xf borderId="0" fillId="2" fontId="7" numFmtId="0" xfId="0" applyAlignment="1" applyFill="1" applyFont="1">
      <alignment readingOrder="0" shrinkToFit="0" vertical="bottom" wrapText="1"/>
    </xf>
    <xf borderId="0" fillId="2" fontId="8" numFmtId="0" xfId="0" applyAlignment="1" applyFill="1" applyFont="1">
      <alignment readingOrder="0" shrinkToFit="0" vertical="bottom" wrapText="1"/>
    </xf>
    <xf borderId="0" fillId="2" fontId="9" numFmtId="0" xfId="0" applyAlignment="1" applyFill="1" applyFont="1">
      <alignment horizontal="center" readingOrder="0" shrinkToFit="0" vertical="bottom" wrapText="1"/>
    </xf>
    <xf borderId="0" fillId="2" fontId="9" numFmtId="164" xfId="0" applyAlignment="1" applyFill="1" applyFont="1" applyNumberFormat="1">
      <alignment horizontal="left" readingOrder="0" shrinkToFit="0" vertical="bottom" wrapText="1"/>
    </xf>
    <xf borderId="0" fillId="2" fontId="10" numFmtId="2" xfId="0" applyAlignment="1" applyFill="1" applyFont="1" applyNumberFormat="1">
      <alignment horizontal="left" readingOrder="0" shrinkToFit="0" vertical="bottom" wrapText="1"/>
    </xf>
    <xf borderId="0" fillId="2" fontId="10" numFmtId="10" xfId="0" applyAlignment="1" applyFill="1" applyFont="1" applyNumberFormat="1">
      <alignment horizontal="left" readingOrder="0" shrinkToFit="0" vertical="bottom" wrapText="1"/>
    </xf>
    <xf borderId="0" fillId="2" fontId="11" numFmtId="0" xfId="0" applyAlignment="1" applyFill="1" applyFont="1">
      <alignment horizontal="center" readingOrder="0" shrinkToFit="0" vertical="bottom" wrapText="1"/>
    </xf>
    <xf borderId="0" fillId="2" fontId="12" numFmtId="0" xfId="0" applyAlignment="1" applyFill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1"/>
    </xf>
    <xf borderId="0" fillId="2" fontId="14" numFmtId="0" xfId="0" applyAlignment="1" applyFill="1" applyFont="1">
      <alignment horizontal="center" readingOrder="0" shrinkToFit="0" vertical="bottom" wrapText="1"/>
    </xf>
    <xf borderId="0" fillId="2" fontId="15" numFmtId="164" xfId="0" applyAlignment="1" applyFill="1" applyFont="1" applyNumberFormat="1">
      <alignment horizontal="left" readingOrder="0" shrinkToFit="0" vertical="bottom" wrapText="1"/>
    </xf>
    <xf borderId="0" fillId="2" fontId="16" numFmtId="2" xfId="0" applyAlignment="1" applyFill="1" applyFont="1" applyNumberFormat="1">
      <alignment horizontal="left" readingOrder="0" shrinkToFit="0" vertical="bottom" wrapText="1"/>
    </xf>
    <xf borderId="0" fillId="2" fontId="16" numFmtId="10" xfId="0" applyAlignment="1" applyFill="1" applyFont="1" applyNumberFormat="1">
      <alignment horizontal="left" readingOrder="0" shrinkToFit="0" vertical="bottom" wrapText="1"/>
    </xf>
    <xf borderId="0" fillId="0" fontId="17" numFmtId="0" xfId="0" applyAlignment="1" applyFont="1">
      <alignment shrinkToFit="0" wrapText="1"/>
    </xf>
    <xf borderId="0" fillId="2" fontId="18" numFmtId="0" xfId="0" applyAlignment="1" applyFill="1" applyFont="1">
      <alignment readingOrder="0" shrinkToFit="0" vertical="bottom" wrapText="1"/>
    </xf>
    <xf borderId="0" fillId="2" fontId="19" numFmtId="0" xfId="0" applyAlignment="1" applyFill="1" applyFont="1">
      <alignment readingOrder="0" shrinkToFit="0" vertical="bottom" wrapText="1"/>
    </xf>
    <xf borderId="0" fillId="2" fontId="20" numFmtId="0" xfId="0" applyAlignment="1" applyFill="1" applyFont="1">
      <alignment horizontal="center" readingOrder="0" shrinkToFit="0" vertical="bottom" wrapText="1"/>
    </xf>
    <xf borderId="0" fillId="2" fontId="21" numFmtId="164" xfId="0" applyAlignment="1" applyFill="1" applyFont="1" applyNumberFormat="1">
      <alignment horizontal="left" readingOrder="0" shrinkToFit="0" vertical="bottom" wrapText="1"/>
    </xf>
    <xf borderId="0" fillId="2" fontId="20" numFmtId="2" xfId="0" applyAlignment="1" applyFill="1" applyFont="1" applyNumberFormat="1">
      <alignment horizontal="left" readingOrder="0" shrinkToFit="0" vertical="bottom" wrapText="1"/>
    </xf>
    <xf borderId="0" fillId="2" fontId="20" numFmtId="10" xfId="0" applyAlignment="1" applyFill="1" applyFont="1" applyNumberFormat="1">
      <alignment horizontal="left" readingOrder="0" shrinkToFit="0" vertical="bottom" wrapText="1"/>
    </xf>
    <xf borderId="0" fillId="0" fontId="22" numFmtId="0" xfId="0" applyAlignment="1" applyFont="1">
      <alignment shrinkToFit="0" wrapText="1"/>
    </xf>
    <xf borderId="0" fillId="2" fontId="14" numFmtId="2" xfId="0" applyAlignment="1" applyFill="1" applyFont="1" applyNumberFormat="1">
      <alignment horizontal="left" readingOrder="0" shrinkToFit="0" vertical="bottom" wrapText="1"/>
    </xf>
    <xf borderId="0" fillId="2" fontId="23" numFmtId="0" xfId="0" applyAlignment="1" applyFill="1" applyFont="1">
      <alignment horizontal="center" readingOrder="0" shrinkToFit="0" vertical="bottom" wrapText="1"/>
    </xf>
    <xf borderId="0" fillId="0" fontId="24" numFmtId="0" xfId="0" applyAlignment="1" applyFont="1">
      <alignment readingOrder="0" shrinkToFit="0" vertical="bottom" wrapText="0"/>
    </xf>
    <xf borderId="0" fillId="0" fontId="25" numFmtId="0" xfId="0" applyAlignment="1" applyFont="1">
      <alignment horizontal="center" readingOrder="0" shrinkToFit="0" vertical="bottom" wrapText="0"/>
    </xf>
    <xf borderId="0" fillId="0" fontId="25" numFmtId="164" xfId="0" applyAlignment="1" applyFont="1" applyNumberFormat="1">
      <alignment horizontal="left" readingOrder="0" shrinkToFit="0" vertical="bottom" wrapText="0"/>
    </xf>
    <xf borderId="0" fillId="0" fontId="16" numFmtId="2" xfId="0" applyAlignment="1" applyFont="1" applyNumberFormat="1">
      <alignment horizontal="left" readingOrder="0" shrinkToFit="0" vertical="bottom" wrapText="0"/>
    </xf>
    <xf borderId="0" fillId="0" fontId="26" numFmtId="10" xfId="0" applyAlignment="1" applyFont="1" applyNumberFormat="1">
      <alignment horizontal="left" readingOrder="0" shrinkToFit="0" vertical="bottom" wrapText="0"/>
    </xf>
    <xf borderId="0" fillId="0" fontId="27" numFmtId="0" xfId="0" applyAlignment="1" applyFont="1">
      <alignment horizontal="center" readingOrder="0" shrinkToFit="0" vertical="bottom" wrapText="0"/>
    </xf>
    <xf borderId="0" fillId="0" fontId="28" numFmtId="0" xfId="0" applyFont="1"/>
    <xf borderId="0" fillId="0" fontId="29" numFmtId="164" xfId="0" applyFont="1" applyNumberFormat="1"/>
    <xf borderId="1" fillId="2" fontId="24" numFmtId="0" xfId="0" applyAlignment="1" applyBorder="1" applyFill="1" applyFont="1">
      <alignment readingOrder="0" shrinkToFit="0" vertical="bottom" wrapText="0"/>
    </xf>
    <xf borderId="1" fillId="2" fontId="24" numFmtId="0" xfId="0" applyAlignment="1" applyBorder="1" applyFill="1" applyFont="1">
      <alignment horizontal="center" readingOrder="0" shrinkToFit="0" vertical="bottom" wrapText="0"/>
    </xf>
    <xf borderId="1" fillId="2" fontId="30" numFmtId="0" xfId="0" applyAlignment="1" applyBorder="1" applyFill="1" applyFont="1">
      <alignment horizontal="center" readingOrder="0" shrinkToFit="0" vertical="bottom" wrapText="0"/>
    </xf>
    <xf borderId="1" fillId="2" fontId="31" numFmtId="0" xfId="0" applyAlignment="1" applyBorder="1" applyFill="1" applyFont="1">
      <alignment horizontal="center" readingOrder="0" shrinkToFit="0" vertical="bottom" wrapText="0"/>
    </xf>
    <xf borderId="1" fillId="2" fontId="25" numFmtId="164" xfId="0" applyAlignment="1" applyBorder="1" applyFill="1" applyFont="1" applyNumberFormat="1">
      <alignment horizontal="center" readingOrder="0" shrinkToFit="0" vertical="bottom" wrapText="0"/>
    </xf>
    <xf borderId="0" fillId="2" fontId="32" numFmtId="2" xfId="0" applyAlignment="1" applyFill="1" applyFont="1" applyNumberFormat="1">
      <alignment horizontal="center" readingOrder="0" shrinkToFit="0" vertical="bottom" wrapText="0"/>
    </xf>
    <xf borderId="0" fillId="2" fontId="33" numFmtId="10" xfId="0" applyAlignment="1" applyFill="1" applyFont="1" applyNumberFormat="1">
      <alignment horizontal="center" readingOrder="0" shrinkToFit="0" vertical="bottom" wrapText="0"/>
    </xf>
    <xf borderId="0" fillId="2" fontId="34" numFmtId="0" xfId="0" applyAlignment="1" applyFill="1" applyFont="1">
      <alignment horizontal="center" readingOrder="0" shrinkToFit="0" vertical="bottom" wrapText="0"/>
    </xf>
    <xf borderId="1" fillId="3" fontId="35" numFmtId="0" xfId="0" applyAlignment="1" applyBorder="1" applyFill="1" applyFont="1">
      <alignment readingOrder="0"/>
    </xf>
    <xf borderId="1" fillId="3" fontId="35" numFmtId="164" xfId="0" applyAlignment="1" applyBorder="1" applyFill="1" applyFont="1" applyNumberFormat="1">
      <alignment horizontal="center" readingOrder="0"/>
    </xf>
    <xf borderId="1" fillId="4" fontId="35" numFmtId="0" xfId="0" applyAlignment="1" applyBorder="1" applyFill="1" applyFont="1">
      <alignment horizontal="center" readingOrder="0"/>
    </xf>
    <xf borderId="1" fillId="5" fontId="36" numFmtId="164" xfId="0" applyAlignment="1" applyBorder="1" applyFill="1" applyFont="1" applyNumberFormat="1">
      <alignment horizontal="center" readingOrder="0"/>
    </xf>
    <xf borderId="1" fillId="4" fontId="37" numFmtId="2" xfId="0" applyAlignment="1" applyBorder="1" applyFill="1" applyFont="1" applyNumberFormat="1">
      <alignment horizontal="center" readingOrder="0"/>
    </xf>
    <xf borderId="0" fillId="4" fontId="35" numFmtId="10" xfId="0" applyAlignment="1" applyFill="1" applyFont="1" applyNumberFormat="1">
      <alignment readingOrder="0"/>
    </xf>
    <xf borderId="0" fillId="0" fontId="38" numFmtId="0" xfId="0" applyAlignment="1" applyFont="1">
      <alignment horizontal="center" readingOrder="0"/>
    </xf>
    <xf borderId="0" fillId="0" fontId="39" numFmtId="164" xfId="0" applyAlignment="1" applyFont="1" applyNumberFormat="1">
      <alignment readingOrder="0"/>
    </xf>
    <xf borderId="1" fillId="4" fontId="40" numFmtId="0" xfId="0" applyAlignment="1" applyBorder="1" applyFill="1" applyFont="1">
      <alignment horizontal="center" readingOrder="0"/>
    </xf>
    <xf borderId="1" fillId="4" fontId="35" numFmtId="2" xfId="0" applyAlignment="1" applyBorder="1" applyFill="1" applyFont="1" applyNumberFormat="1">
      <alignment horizontal="center" readingOrder="0"/>
    </xf>
    <xf borderId="1" fillId="3" fontId="40" numFmtId="0" xfId="0" applyAlignment="1" applyBorder="1" applyFill="1" applyFont="1">
      <alignment readingOrder="0"/>
    </xf>
    <xf borderId="0" fillId="3" fontId="40" numFmtId="0" xfId="0" applyAlignment="1" applyFill="1" applyFont="1">
      <alignment readingOrder="0"/>
    </xf>
    <xf borderId="0" fillId="3" fontId="35" numFmtId="164" xfId="0" applyAlignment="1" applyFill="1" applyFont="1" applyNumberFormat="1">
      <alignment horizontal="center" readingOrder="0"/>
    </xf>
    <xf borderId="0" fillId="4" fontId="35" numFmtId="0" xfId="0" applyAlignment="1" applyFill="1" applyFont="1">
      <alignment horizontal="center" readingOrder="0"/>
    </xf>
    <xf borderId="0" fillId="5" fontId="36" numFmtId="164" xfId="0" applyAlignment="1" applyFill="1" applyFont="1" applyNumberFormat="1">
      <alignment horizontal="center" readingOrder="0"/>
    </xf>
    <xf borderId="0" fillId="4" fontId="37" numFmtId="2" xfId="0" applyAlignment="1" applyFill="1" applyFont="1" applyNumberFormat="1">
      <alignment horizontal="center" readingOrder="0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left"/>
    </xf>
    <xf borderId="0" fillId="0" fontId="17" numFmtId="2" xfId="0" applyAlignment="1" applyFont="1" applyNumberFormat="1">
      <alignment horizontal="left"/>
    </xf>
    <xf borderId="0" fillId="0" fontId="41" numFmtId="10" xfId="0" applyAlignment="1" applyFont="1" applyNumberFormat="1">
      <alignment horizontal="left"/>
    </xf>
    <xf borderId="0" fillId="0" fontId="29" numFmtId="0" xfId="0" applyAlignment="1" applyFont="1">
      <alignment horizontal="center"/>
    </xf>
    <xf borderId="0" fillId="0" fontId="39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38.0"/>
    <col customWidth="1" min="2" max="9" width="20.13"/>
    <col customWidth="1" min="10" max="10" width="28.88"/>
    <col customWidth="1" min="11" max="12" width="11.38"/>
    <col customWidth="1" min="13" max="14" width="8.88"/>
    <col customWidth="1" min="15" max="16" width="6.38"/>
  </cols>
  <sheetData>
    <row r="1">
      <c r="A1" s="1"/>
      <c r="B1" s="1" t="s">
        <v>0</v>
      </c>
      <c r="J1" s="1"/>
      <c r="K1" s="2"/>
      <c r="L1" s="3"/>
      <c r="M1" s="4"/>
      <c r="N1" s="5"/>
      <c r="O1" s="6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/>
      <c r="B2" s="9" t="s">
        <v>1</v>
      </c>
      <c r="J2" s="10"/>
      <c r="K2" s="11"/>
      <c r="L2" s="12"/>
      <c r="M2" s="13"/>
      <c r="N2" s="14"/>
      <c r="O2" s="6"/>
      <c r="P2" s="7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51.75" customHeight="1">
      <c r="A3" s="1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7" t="s">
        <v>10</v>
      </c>
      <c r="K3" s="18"/>
      <c r="L3" s="19"/>
      <c r="M3" s="20"/>
      <c r="N3" s="14"/>
      <c r="O3" s="21"/>
      <c r="P3" s="7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ht="197.25" hidden="1" customHeight="1">
      <c r="A4" s="22"/>
      <c r="B4" s="23" t="s">
        <v>11</v>
      </c>
      <c r="C4" s="23" t="s">
        <v>12</v>
      </c>
      <c r="D4" s="23" t="s">
        <v>13</v>
      </c>
      <c r="E4" s="23" t="s">
        <v>14</v>
      </c>
      <c r="F4" s="23" t="s">
        <v>15</v>
      </c>
      <c r="G4" s="23" t="s">
        <v>16</v>
      </c>
      <c r="I4" s="23" t="s">
        <v>17</v>
      </c>
      <c r="J4" s="24"/>
      <c r="K4" s="25"/>
      <c r="L4" s="26"/>
      <c r="M4" s="27"/>
      <c r="N4" s="14"/>
      <c r="O4" s="28"/>
      <c r="P4" s="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ht="181.5" customHeight="1">
      <c r="A5" s="22"/>
      <c r="B5" s="23" t="s">
        <v>18</v>
      </c>
      <c r="C5" s="23" t="s">
        <v>19</v>
      </c>
      <c r="D5" s="23" t="s">
        <v>20</v>
      </c>
      <c r="E5" s="23" t="s">
        <v>21</v>
      </c>
      <c r="F5" s="23" t="s">
        <v>22</v>
      </c>
      <c r="G5" s="23" t="s">
        <v>23</v>
      </c>
      <c r="H5" s="23" t="s">
        <v>24</v>
      </c>
      <c r="I5" s="23" t="s">
        <v>25</v>
      </c>
      <c r="J5" s="17" t="s">
        <v>26</v>
      </c>
      <c r="K5" s="25"/>
      <c r="L5" s="29" t="s">
        <v>27</v>
      </c>
      <c r="M5" s="27"/>
      <c r="N5" s="30" t="s">
        <v>28</v>
      </c>
      <c r="O5" s="28"/>
      <c r="P5" s="7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ht="9.0" customHeight="1">
      <c r="A6" s="31"/>
      <c r="B6" s="31"/>
      <c r="C6" s="31"/>
      <c r="D6" s="31"/>
      <c r="E6" s="31"/>
      <c r="F6" s="31"/>
      <c r="G6" s="31"/>
      <c r="H6" s="31"/>
      <c r="I6" s="31"/>
      <c r="J6" s="32"/>
      <c r="K6" s="33"/>
      <c r="L6" s="34"/>
      <c r="M6" s="35"/>
      <c r="N6" s="36"/>
      <c r="O6" s="37"/>
      <c r="P6" s="38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</row>
    <row r="7">
      <c r="A7" s="39" t="s">
        <v>29</v>
      </c>
      <c r="B7" s="40" t="s">
        <v>30</v>
      </c>
      <c r="C7" s="40" t="s">
        <v>31</v>
      </c>
      <c r="D7" s="40" t="s">
        <v>32</v>
      </c>
      <c r="E7" s="40" t="s">
        <v>33</v>
      </c>
      <c r="F7" s="41" t="s">
        <v>34</v>
      </c>
      <c r="G7" s="40" t="s">
        <v>35</v>
      </c>
      <c r="H7" s="41" t="s">
        <v>36</v>
      </c>
      <c r="I7" s="41" t="s">
        <v>37</v>
      </c>
      <c r="J7" s="42" t="s">
        <v>38</v>
      </c>
      <c r="K7" s="43" t="s">
        <v>39</v>
      </c>
      <c r="L7" s="44" t="s">
        <v>40</v>
      </c>
      <c r="M7" s="45" t="s">
        <v>41</v>
      </c>
      <c r="N7" s="46" t="s">
        <v>42</v>
      </c>
      <c r="O7" s="37"/>
      <c r="P7" s="38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</row>
    <row r="8">
      <c r="A8" s="47" t="s">
        <v>43</v>
      </c>
      <c r="B8" s="48">
        <v>5.0</v>
      </c>
      <c r="C8" s="48">
        <v>5.0</v>
      </c>
      <c r="D8" s="48">
        <v>5.0</v>
      </c>
      <c r="E8" s="48">
        <v>5.0</v>
      </c>
      <c r="F8" s="48">
        <v>5.0</v>
      </c>
      <c r="G8" s="48">
        <v>5.0</v>
      </c>
      <c r="H8" s="48">
        <v>5.0</v>
      </c>
      <c r="I8" s="48">
        <v>5.0</v>
      </c>
      <c r="J8" s="49" t="s">
        <v>44</v>
      </c>
      <c r="K8" s="50">
        <v>40.0</v>
      </c>
      <c r="L8" s="51">
        <v>40.0</v>
      </c>
      <c r="M8" s="52">
        <f t="shared" ref="M8:M51" si="1">L8/40</f>
        <v>1</v>
      </c>
      <c r="N8" s="53" t="s">
        <v>45</v>
      </c>
      <c r="P8" s="54" t="str">
        <f>IFERROR(__xludf.DUMMYFUNCTION("IFERROR(VALUE(REGEXEXTRACT(K8,""^[0-9]+(?:\.[0-9]+)?"")),)"),"")</f>
        <v/>
      </c>
    </row>
    <row r="9">
      <c r="A9" s="47" t="s">
        <v>46</v>
      </c>
      <c r="B9" s="48">
        <v>5.0</v>
      </c>
      <c r="C9" s="48">
        <v>5.0</v>
      </c>
      <c r="D9" s="48">
        <v>5.0</v>
      </c>
      <c r="E9" s="48">
        <v>5.0</v>
      </c>
      <c r="F9" s="48">
        <v>4.5</v>
      </c>
      <c r="G9" s="48">
        <v>4.5</v>
      </c>
      <c r="H9" s="48">
        <v>5.0</v>
      </c>
      <c r="I9" s="48">
        <v>5.0</v>
      </c>
      <c r="J9" s="49" t="s">
        <v>47</v>
      </c>
      <c r="K9" s="50">
        <v>39.0</v>
      </c>
      <c r="L9" s="51">
        <v>39.0</v>
      </c>
      <c r="M9" s="52">
        <f t="shared" si="1"/>
        <v>0.975</v>
      </c>
      <c r="N9" s="53" t="s">
        <v>45</v>
      </c>
      <c r="P9" s="54" t="str">
        <f>IFERROR(__xludf.DUMMYFUNCTION("IFERROR(VALUE(REGEXEXTRACT(K9,""^[0-9]+(?:\.[0-9]+)?"")),)"),"")</f>
        <v/>
      </c>
    </row>
    <row r="10">
      <c r="A10" s="47" t="s">
        <v>48</v>
      </c>
      <c r="B10" s="48">
        <v>5.0</v>
      </c>
      <c r="C10" s="48">
        <v>5.0</v>
      </c>
      <c r="D10" s="48">
        <v>4.5</v>
      </c>
      <c r="E10" s="48">
        <v>5.0</v>
      </c>
      <c r="F10" s="48">
        <v>4.5</v>
      </c>
      <c r="G10" s="48">
        <v>5.0</v>
      </c>
      <c r="H10" s="48">
        <v>4.5</v>
      </c>
      <c r="I10" s="48">
        <v>5.0</v>
      </c>
      <c r="J10" s="49" t="s">
        <v>49</v>
      </c>
      <c r="K10" s="50">
        <v>38.5</v>
      </c>
      <c r="L10" s="51">
        <v>38.5</v>
      </c>
      <c r="M10" s="52">
        <f t="shared" si="1"/>
        <v>0.9625</v>
      </c>
      <c r="N10" s="53" t="s">
        <v>45</v>
      </c>
      <c r="P10" s="54" t="str">
        <f>IFERROR(__xludf.DUMMYFUNCTION("IFERROR(VALUE(REGEXEXTRACT(K10,""^[0-9]+(?:\.[0-9]+)?"")),)"),"")</f>
        <v/>
      </c>
    </row>
    <row r="11">
      <c r="A11" s="47" t="s">
        <v>50</v>
      </c>
      <c r="B11" s="48">
        <v>5.0</v>
      </c>
      <c r="C11" s="48">
        <v>5.0</v>
      </c>
      <c r="D11" s="48">
        <v>4.5</v>
      </c>
      <c r="E11" s="48">
        <v>4.5</v>
      </c>
      <c r="F11" s="48">
        <v>4.5</v>
      </c>
      <c r="G11" s="48">
        <v>5.0</v>
      </c>
      <c r="H11" s="48">
        <v>5.0</v>
      </c>
      <c r="I11" s="48">
        <v>5.0</v>
      </c>
      <c r="J11" s="49" t="s">
        <v>51</v>
      </c>
      <c r="K11" s="50">
        <v>38.5</v>
      </c>
      <c r="L11" s="51">
        <v>38.5</v>
      </c>
      <c r="M11" s="52">
        <f t="shared" si="1"/>
        <v>0.9625</v>
      </c>
      <c r="N11" s="53" t="s">
        <v>45</v>
      </c>
      <c r="P11" s="54" t="str">
        <f>IFERROR(__xludf.DUMMYFUNCTION("IFERROR(VALUE(REGEXEXTRACT(K11,""^[0-9]+(?:\.[0-9]+)?"")),)"),"")</f>
        <v/>
      </c>
    </row>
    <row r="12">
      <c r="A12" s="47" t="s">
        <v>52</v>
      </c>
      <c r="B12" s="48">
        <v>5.0</v>
      </c>
      <c r="C12" s="48">
        <v>5.0</v>
      </c>
      <c r="D12" s="48">
        <v>4.5</v>
      </c>
      <c r="E12" s="48">
        <v>5.0</v>
      </c>
      <c r="F12" s="48">
        <v>4.5</v>
      </c>
      <c r="G12" s="48">
        <v>5.0</v>
      </c>
      <c r="H12" s="48">
        <v>4.0</v>
      </c>
      <c r="I12" s="48">
        <v>5.0</v>
      </c>
      <c r="J12" s="49" t="s">
        <v>53</v>
      </c>
      <c r="K12" s="50">
        <v>38.0</v>
      </c>
      <c r="L12" s="51">
        <v>37.75</v>
      </c>
      <c r="M12" s="52">
        <f t="shared" si="1"/>
        <v>0.94375</v>
      </c>
      <c r="N12" s="53" t="s">
        <v>45</v>
      </c>
      <c r="P12" s="54" t="str">
        <f>IFERROR(__xludf.DUMMYFUNCTION("IFERROR(VALUE(REGEXEXTRACT(K12,""^[0-9]+(?:\.[0-9]+)?"")),)"),"")</f>
        <v/>
      </c>
    </row>
    <row r="13">
      <c r="A13" s="47" t="s">
        <v>54</v>
      </c>
      <c r="B13" s="48">
        <v>5.0</v>
      </c>
      <c r="C13" s="48">
        <v>5.0</v>
      </c>
      <c r="D13" s="48">
        <v>4.5</v>
      </c>
      <c r="E13" s="48">
        <v>5.0</v>
      </c>
      <c r="F13" s="48">
        <v>4.5</v>
      </c>
      <c r="G13" s="48">
        <v>5.0</v>
      </c>
      <c r="H13" s="48">
        <v>4.0</v>
      </c>
      <c r="I13" s="48">
        <v>5.0</v>
      </c>
      <c r="J13" s="49" t="s">
        <v>53</v>
      </c>
      <c r="K13" s="50">
        <v>38.0</v>
      </c>
      <c r="L13" s="51">
        <v>37.75</v>
      </c>
      <c r="M13" s="52">
        <f t="shared" si="1"/>
        <v>0.94375</v>
      </c>
      <c r="N13" s="53" t="s">
        <v>45</v>
      </c>
      <c r="P13" s="54" t="str">
        <f>IFERROR(__xludf.DUMMYFUNCTION("IFERROR(VALUE(REGEXEXTRACT(K13,""^[0-9]+(?:\.[0-9]+)?"")),)"),"")</f>
        <v/>
      </c>
    </row>
    <row r="14">
      <c r="A14" s="47" t="s">
        <v>55</v>
      </c>
      <c r="B14" s="48">
        <v>4.5</v>
      </c>
      <c r="C14" s="48">
        <v>5.0</v>
      </c>
      <c r="D14" s="48">
        <v>4.5</v>
      </c>
      <c r="E14" s="48">
        <v>4.5</v>
      </c>
      <c r="F14" s="48">
        <v>5.0</v>
      </c>
      <c r="G14" s="48">
        <v>5.0</v>
      </c>
      <c r="H14" s="48">
        <v>4.5</v>
      </c>
      <c r="I14" s="48">
        <v>5.0</v>
      </c>
      <c r="J14" s="55" t="s">
        <v>56</v>
      </c>
      <c r="K14" s="50">
        <v>38.0</v>
      </c>
      <c r="L14" s="56">
        <v>37.75</v>
      </c>
      <c r="M14" s="52">
        <f t="shared" si="1"/>
        <v>0.94375</v>
      </c>
      <c r="N14" s="53" t="s">
        <v>45</v>
      </c>
      <c r="P14" s="54"/>
    </row>
    <row r="15">
      <c r="A15" s="47" t="s">
        <v>57</v>
      </c>
      <c r="B15" s="48">
        <v>5.0</v>
      </c>
      <c r="C15" s="48">
        <v>5.0</v>
      </c>
      <c r="D15" s="48">
        <v>4.5</v>
      </c>
      <c r="E15" s="48">
        <v>5.0</v>
      </c>
      <c r="F15" s="48">
        <v>4.5</v>
      </c>
      <c r="G15" s="48">
        <v>5.0</v>
      </c>
      <c r="H15" s="48">
        <v>3.5</v>
      </c>
      <c r="I15" s="48">
        <v>5.0</v>
      </c>
      <c r="J15" s="49" t="s">
        <v>58</v>
      </c>
      <c r="K15" s="50">
        <v>37.5</v>
      </c>
      <c r="L15" s="51">
        <v>37.5</v>
      </c>
      <c r="M15" s="52">
        <f t="shared" si="1"/>
        <v>0.9375</v>
      </c>
      <c r="N15" s="53" t="s">
        <v>45</v>
      </c>
      <c r="P15" s="54" t="str">
        <f>IFERROR(__xludf.DUMMYFUNCTION("IFERROR(VALUE(REGEXEXTRACT(K15,""^[0-9]+(?:\.[0-9]+)?"")),)"),"")</f>
        <v/>
      </c>
    </row>
    <row r="16">
      <c r="A16" s="47" t="s">
        <v>59</v>
      </c>
      <c r="B16" s="48">
        <v>5.0</v>
      </c>
      <c r="C16" s="48">
        <v>5.0</v>
      </c>
      <c r="D16" s="48">
        <v>4.5</v>
      </c>
      <c r="E16" s="48">
        <v>4.5</v>
      </c>
      <c r="F16" s="48">
        <v>5.0</v>
      </c>
      <c r="G16" s="48">
        <v>4.5</v>
      </c>
      <c r="H16" s="48">
        <v>4.0</v>
      </c>
      <c r="I16" s="48">
        <v>5.0</v>
      </c>
      <c r="J16" s="49" t="s">
        <v>60</v>
      </c>
      <c r="K16" s="50">
        <v>37.5</v>
      </c>
      <c r="L16" s="51">
        <v>37.5</v>
      </c>
      <c r="M16" s="52">
        <f t="shared" si="1"/>
        <v>0.9375</v>
      </c>
      <c r="N16" s="53" t="s">
        <v>45</v>
      </c>
      <c r="P16" s="54" t="str">
        <f>IFERROR(__xludf.DUMMYFUNCTION("IFERROR(VALUE(REGEXEXTRACT(K16,""^[0-9]+(?:\.[0-9]+)?"")),)"),"")</f>
        <v/>
      </c>
    </row>
    <row r="17">
      <c r="A17" s="47" t="s">
        <v>61</v>
      </c>
      <c r="B17" s="48">
        <v>5.0</v>
      </c>
      <c r="C17" s="48">
        <v>5.0</v>
      </c>
      <c r="D17" s="48">
        <v>5.0</v>
      </c>
      <c r="E17" s="48">
        <v>4.5</v>
      </c>
      <c r="F17" s="48">
        <v>4.5</v>
      </c>
      <c r="G17" s="48">
        <v>4.5</v>
      </c>
      <c r="H17" s="48">
        <v>4.0</v>
      </c>
      <c r="I17" s="48">
        <v>5.0</v>
      </c>
      <c r="J17" s="49" t="s">
        <v>62</v>
      </c>
      <c r="K17" s="50">
        <v>37.5</v>
      </c>
      <c r="L17" s="51">
        <v>37.25</v>
      </c>
      <c r="M17" s="52">
        <f t="shared" si="1"/>
        <v>0.93125</v>
      </c>
      <c r="N17" s="53" t="s">
        <v>63</v>
      </c>
      <c r="P17" s="54" t="str">
        <f>IFERROR(__xludf.DUMMYFUNCTION("IFERROR(VALUE(REGEXEXTRACT(K17,""^[0-9]+(?:\.[0-9]+)?"")),)"),"")</f>
        <v/>
      </c>
    </row>
    <row r="18">
      <c r="A18" s="47" t="s">
        <v>64</v>
      </c>
      <c r="B18" s="48">
        <v>5.0</v>
      </c>
      <c r="C18" s="48">
        <v>5.0</v>
      </c>
      <c r="D18" s="48">
        <v>4.5</v>
      </c>
      <c r="E18" s="48">
        <v>5.0</v>
      </c>
      <c r="F18" s="48">
        <v>4.0</v>
      </c>
      <c r="G18" s="48">
        <v>5.0</v>
      </c>
      <c r="H18" s="48">
        <v>3.5</v>
      </c>
      <c r="I18" s="48">
        <v>5.0</v>
      </c>
      <c r="J18" s="49" t="s">
        <v>65</v>
      </c>
      <c r="K18" s="50">
        <v>37.0</v>
      </c>
      <c r="L18" s="51">
        <v>37.0</v>
      </c>
      <c r="M18" s="52">
        <f t="shared" si="1"/>
        <v>0.925</v>
      </c>
      <c r="N18" s="53" t="s">
        <v>45</v>
      </c>
      <c r="P18" s="54" t="str">
        <f>IFERROR(__xludf.DUMMYFUNCTION("IFERROR(VALUE(REGEXEXTRACT(K18,""^[0-9]+(?:\.[0-9]+)?"")),)"),"")</f>
        <v/>
      </c>
    </row>
    <row r="19">
      <c r="A19" s="47" t="s">
        <v>66</v>
      </c>
      <c r="B19" s="48">
        <v>5.0</v>
      </c>
      <c r="C19" s="48">
        <v>5.0</v>
      </c>
      <c r="D19" s="48">
        <v>4.5</v>
      </c>
      <c r="E19" s="48">
        <v>5.0</v>
      </c>
      <c r="F19" s="48">
        <v>4.0</v>
      </c>
      <c r="G19" s="48">
        <v>5.0</v>
      </c>
      <c r="H19" s="48">
        <v>3.5</v>
      </c>
      <c r="I19" s="48">
        <v>5.0</v>
      </c>
      <c r="J19" s="49" t="s">
        <v>65</v>
      </c>
      <c r="K19" s="50">
        <v>37.0</v>
      </c>
      <c r="L19" s="51">
        <v>37.0</v>
      </c>
      <c r="M19" s="52">
        <f t="shared" si="1"/>
        <v>0.925</v>
      </c>
      <c r="N19" s="53" t="s">
        <v>45</v>
      </c>
      <c r="P19" s="54" t="str">
        <f>IFERROR(__xludf.DUMMYFUNCTION("IFERROR(VALUE(REGEXEXTRACT(K19,""^[0-9]+(?:\.[0-9]+)?"")),)"),"")</f>
        <v/>
      </c>
    </row>
    <row r="20">
      <c r="A20" s="47" t="s">
        <v>67</v>
      </c>
      <c r="B20" s="48">
        <v>5.0</v>
      </c>
      <c r="C20" s="48">
        <v>5.0</v>
      </c>
      <c r="D20" s="48">
        <v>4.5</v>
      </c>
      <c r="E20" s="48">
        <v>4.5</v>
      </c>
      <c r="F20" s="48">
        <v>4.5</v>
      </c>
      <c r="G20" s="48">
        <v>4.0</v>
      </c>
      <c r="H20" s="48">
        <v>4.5</v>
      </c>
      <c r="I20" s="48">
        <v>5.0</v>
      </c>
      <c r="J20" s="49" t="s">
        <v>68</v>
      </c>
      <c r="K20" s="50">
        <v>37.0</v>
      </c>
      <c r="L20" s="51">
        <v>37.0</v>
      </c>
      <c r="M20" s="52">
        <f t="shared" si="1"/>
        <v>0.925</v>
      </c>
      <c r="N20" s="53" t="s">
        <v>45</v>
      </c>
      <c r="P20" s="54" t="str">
        <f>IFERROR(__xludf.DUMMYFUNCTION("IFERROR(VALUE(REGEXEXTRACT(K20,""^[0-9]+(?:\.[0-9]+)?"")),)"),"")</f>
        <v/>
      </c>
    </row>
    <row r="21">
      <c r="A21" s="47" t="s">
        <v>69</v>
      </c>
      <c r="B21" s="48">
        <v>5.0</v>
      </c>
      <c r="C21" s="48">
        <v>5.0</v>
      </c>
      <c r="D21" s="48">
        <v>5.0</v>
      </c>
      <c r="E21" s="48">
        <v>4.5</v>
      </c>
      <c r="F21" s="48">
        <v>4.0</v>
      </c>
      <c r="G21" s="48">
        <v>4.5</v>
      </c>
      <c r="H21" s="48">
        <v>4.0</v>
      </c>
      <c r="I21" s="48">
        <v>5.0</v>
      </c>
      <c r="J21" s="49" t="s">
        <v>70</v>
      </c>
      <c r="K21" s="50">
        <v>37.0</v>
      </c>
      <c r="L21" s="51">
        <v>37.0</v>
      </c>
      <c r="M21" s="52">
        <f t="shared" si="1"/>
        <v>0.925</v>
      </c>
      <c r="N21" s="53" t="s">
        <v>45</v>
      </c>
      <c r="P21" s="54" t="str">
        <f>IFERROR(__xludf.DUMMYFUNCTION("IFERROR(VALUE(REGEXEXTRACT(K21,""^[0-9]+(?:\.[0-9]+)?"")),)"),"")</f>
        <v/>
      </c>
    </row>
    <row r="22">
      <c r="A22" s="47" t="s">
        <v>71</v>
      </c>
      <c r="B22" s="48">
        <v>5.0</v>
      </c>
      <c r="C22" s="48">
        <v>5.0</v>
      </c>
      <c r="D22" s="48">
        <v>4.5</v>
      </c>
      <c r="E22" s="48">
        <v>4.5</v>
      </c>
      <c r="F22" s="48">
        <v>4.0</v>
      </c>
      <c r="G22" s="48">
        <v>5.0</v>
      </c>
      <c r="H22" s="48">
        <v>4.0</v>
      </c>
      <c r="I22" s="48">
        <v>5.0</v>
      </c>
      <c r="J22" s="49" t="s">
        <v>70</v>
      </c>
      <c r="K22" s="50">
        <v>37.0</v>
      </c>
      <c r="L22" s="51">
        <v>36.75</v>
      </c>
      <c r="M22" s="52">
        <f t="shared" si="1"/>
        <v>0.91875</v>
      </c>
      <c r="N22" s="53" t="s">
        <v>45</v>
      </c>
      <c r="P22" s="54" t="str">
        <f>IFERROR(__xludf.DUMMYFUNCTION("IFERROR(VALUE(REGEXEXTRACT(K22,""^[0-9]+(?:\.[0-9]+)?"")),)"),"")</f>
        <v/>
      </c>
    </row>
    <row r="23">
      <c r="A23" s="47" t="s">
        <v>72</v>
      </c>
      <c r="B23" s="48">
        <v>5.0</v>
      </c>
      <c r="C23" s="48">
        <v>5.0</v>
      </c>
      <c r="D23" s="48">
        <v>5.0</v>
      </c>
      <c r="E23" s="48">
        <v>5.0</v>
      </c>
      <c r="F23" s="48">
        <v>4.5</v>
      </c>
      <c r="G23" s="48">
        <v>4.5</v>
      </c>
      <c r="H23" s="48">
        <v>4.0</v>
      </c>
      <c r="I23" s="48">
        <v>4.0</v>
      </c>
      <c r="J23" s="49" t="s">
        <v>73</v>
      </c>
      <c r="K23" s="50">
        <v>37.0</v>
      </c>
      <c r="L23" s="51">
        <v>36.5</v>
      </c>
      <c r="M23" s="52">
        <f t="shared" si="1"/>
        <v>0.9125</v>
      </c>
      <c r="N23" s="53" t="s">
        <v>45</v>
      </c>
      <c r="P23" s="54" t="str">
        <f>IFERROR(__xludf.DUMMYFUNCTION("IFERROR(VALUE(REGEXEXTRACT(K23,""^[0-9]+(?:\.[0-9]+)?"")),)"),"")</f>
        <v/>
      </c>
    </row>
    <row r="24">
      <c r="A24" s="47" t="s">
        <v>74</v>
      </c>
      <c r="B24" s="48">
        <v>4.5</v>
      </c>
      <c r="C24" s="48">
        <v>4.5</v>
      </c>
      <c r="D24" s="48">
        <v>4.5</v>
      </c>
      <c r="E24" s="48">
        <v>4.5</v>
      </c>
      <c r="F24" s="48">
        <v>4.0</v>
      </c>
      <c r="G24" s="48">
        <v>5.0</v>
      </c>
      <c r="H24" s="48">
        <v>4.5</v>
      </c>
      <c r="I24" s="48">
        <v>5.0</v>
      </c>
      <c r="J24" s="49" t="s">
        <v>75</v>
      </c>
      <c r="K24" s="50">
        <v>36.5</v>
      </c>
      <c r="L24" s="51">
        <v>36.25</v>
      </c>
      <c r="M24" s="52">
        <f t="shared" si="1"/>
        <v>0.90625</v>
      </c>
      <c r="N24" s="53" t="s">
        <v>45</v>
      </c>
      <c r="P24" s="54"/>
    </row>
    <row r="25">
      <c r="A25" s="47" t="s">
        <v>76</v>
      </c>
      <c r="B25" s="48">
        <v>4.5</v>
      </c>
      <c r="C25" s="48">
        <v>5.0</v>
      </c>
      <c r="D25" s="48">
        <v>5.0</v>
      </c>
      <c r="E25" s="48">
        <v>3.5</v>
      </c>
      <c r="F25" s="48">
        <v>5.0</v>
      </c>
      <c r="G25" s="48">
        <v>4.5</v>
      </c>
      <c r="H25" s="48">
        <v>3.5</v>
      </c>
      <c r="I25" s="48">
        <v>5.0</v>
      </c>
      <c r="J25" s="49" t="s">
        <v>77</v>
      </c>
      <c r="K25" s="50">
        <v>36.0</v>
      </c>
      <c r="L25" s="51">
        <v>36.0</v>
      </c>
      <c r="M25" s="52">
        <f t="shared" si="1"/>
        <v>0.9</v>
      </c>
      <c r="N25" s="53" t="s">
        <v>45</v>
      </c>
      <c r="P25" s="54" t="str">
        <f>IFERROR(__xludf.DUMMYFUNCTION("IFERROR(VALUE(REGEXEXTRACT(K25,""^[0-9]+(?:\.[0-9]+)?"")),)"),"")</f>
        <v/>
      </c>
    </row>
    <row r="26">
      <c r="A26" s="47" t="s">
        <v>78</v>
      </c>
      <c r="B26" s="48">
        <v>4.5</v>
      </c>
      <c r="C26" s="48">
        <v>4.5</v>
      </c>
      <c r="D26" s="48">
        <v>4.5</v>
      </c>
      <c r="E26" s="48">
        <v>4.5</v>
      </c>
      <c r="F26" s="48">
        <v>4.0</v>
      </c>
      <c r="G26" s="48">
        <v>4.5</v>
      </c>
      <c r="H26" s="48">
        <v>4.5</v>
      </c>
      <c r="I26" s="48">
        <v>5.0</v>
      </c>
      <c r="J26" s="55" t="s">
        <v>77</v>
      </c>
      <c r="K26" s="50">
        <v>36.0</v>
      </c>
      <c r="L26" s="51">
        <v>35.75</v>
      </c>
      <c r="M26" s="52">
        <f t="shared" si="1"/>
        <v>0.89375</v>
      </c>
      <c r="N26" s="53" t="s">
        <v>45</v>
      </c>
      <c r="P26" s="54"/>
    </row>
    <row r="27">
      <c r="A27" s="47" t="s">
        <v>79</v>
      </c>
      <c r="B27" s="48">
        <v>4.5</v>
      </c>
      <c r="C27" s="48">
        <v>5.0</v>
      </c>
      <c r="D27" s="48">
        <v>4.5</v>
      </c>
      <c r="E27" s="48">
        <v>3.5</v>
      </c>
      <c r="F27" s="48">
        <v>5.0</v>
      </c>
      <c r="G27" s="48">
        <v>5.0</v>
      </c>
      <c r="H27" s="48">
        <v>3.0</v>
      </c>
      <c r="I27" s="48">
        <v>5.0</v>
      </c>
      <c r="J27" s="49" t="s">
        <v>80</v>
      </c>
      <c r="K27" s="50">
        <v>35.5</v>
      </c>
      <c r="L27" s="51">
        <v>35.5</v>
      </c>
      <c r="M27" s="52">
        <f t="shared" si="1"/>
        <v>0.8875</v>
      </c>
      <c r="N27" s="53" t="s">
        <v>45</v>
      </c>
      <c r="P27" s="54" t="str">
        <f>IFERROR(__xludf.DUMMYFUNCTION("IFERROR(VALUE(REGEXEXTRACT(K27,""^[0-9]+(?:\.[0-9]+)?"")),)"),"")</f>
        <v/>
      </c>
    </row>
    <row r="28">
      <c r="A28" s="47" t="s">
        <v>81</v>
      </c>
      <c r="B28" s="48">
        <v>5.0</v>
      </c>
      <c r="C28" s="48">
        <v>5.0</v>
      </c>
      <c r="D28" s="48">
        <v>4.5</v>
      </c>
      <c r="E28" s="48">
        <v>3.5</v>
      </c>
      <c r="F28" s="48">
        <v>4.5</v>
      </c>
      <c r="G28" s="48">
        <v>3.5</v>
      </c>
      <c r="H28" s="48">
        <v>3.5</v>
      </c>
      <c r="I28" s="48">
        <v>5.0</v>
      </c>
      <c r="J28" s="49" t="s">
        <v>82</v>
      </c>
      <c r="K28" s="50">
        <v>34.5</v>
      </c>
      <c r="L28" s="51">
        <v>34.5</v>
      </c>
      <c r="M28" s="52">
        <f t="shared" si="1"/>
        <v>0.8625</v>
      </c>
      <c r="N28" s="53" t="s">
        <v>45</v>
      </c>
      <c r="P28" s="54" t="str">
        <f>IFERROR(__xludf.DUMMYFUNCTION("IFERROR(VALUE(REGEXEXTRACT(K28,""^[0-9]+(?:\.[0-9]+)?"")),)"),"")</f>
        <v/>
      </c>
    </row>
    <row r="29">
      <c r="A29" s="47" t="s">
        <v>83</v>
      </c>
      <c r="B29" s="48">
        <v>5.0</v>
      </c>
      <c r="C29" s="48">
        <v>5.0</v>
      </c>
      <c r="D29" s="48">
        <v>4.5</v>
      </c>
      <c r="E29" s="48">
        <v>2.5</v>
      </c>
      <c r="F29" s="48">
        <v>4.0</v>
      </c>
      <c r="G29" s="48">
        <v>5.0</v>
      </c>
      <c r="H29" s="48">
        <v>3.5</v>
      </c>
      <c r="I29" s="48">
        <v>5.0</v>
      </c>
      <c r="J29" s="49" t="s">
        <v>84</v>
      </c>
      <c r="K29" s="50">
        <v>34.5</v>
      </c>
      <c r="L29" s="51">
        <v>34.25</v>
      </c>
      <c r="M29" s="52">
        <f t="shared" si="1"/>
        <v>0.85625</v>
      </c>
      <c r="N29" s="53" t="s">
        <v>45</v>
      </c>
      <c r="P29" s="54" t="str">
        <f>IFERROR(__xludf.DUMMYFUNCTION("IFERROR(VALUE(REGEXEXTRACT(K29,""^[0-9]+(?:\.[0-9]+)?"")),)"),"")</f>
        <v/>
      </c>
    </row>
    <row r="30">
      <c r="A30" s="47" t="s">
        <v>85</v>
      </c>
      <c r="B30" s="48">
        <v>4.5</v>
      </c>
      <c r="C30" s="48">
        <v>4.0</v>
      </c>
      <c r="D30" s="48">
        <v>4.0</v>
      </c>
      <c r="E30" s="48">
        <v>4.5</v>
      </c>
      <c r="F30" s="48">
        <v>4.0</v>
      </c>
      <c r="G30" s="48">
        <v>4.0</v>
      </c>
      <c r="H30" s="48">
        <v>3.5</v>
      </c>
      <c r="I30" s="48">
        <v>4.0</v>
      </c>
      <c r="J30" s="49" t="s">
        <v>86</v>
      </c>
      <c r="K30" s="50">
        <v>32.5</v>
      </c>
      <c r="L30" s="51">
        <v>32.5</v>
      </c>
      <c r="M30" s="52">
        <f t="shared" si="1"/>
        <v>0.8125</v>
      </c>
      <c r="N30" s="53" t="s">
        <v>87</v>
      </c>
      <c r="P30" s="54" t="str">
        <f>IFERROR(__xludf.DUMMYFUNCTION("IFERROR(VALUE(REGEXEXTRACT(K30,""^[0-9]+(?:\.[0-9]+)?"")),)"),"")</f>
        <v/>
      </c>
    </row>
    <row r="31">
      <c r="A31" s="47" t="s">
        <v>88</v>
      </c>
      <c r="B31" s="48">
        <v>4.5</v>
      </c>
      <c r="C31" s="48">
        <v>5.0</v>
      </c>
      <c r="D31" s="48">
        <v>5.0</v>
      </c>
      <c r="E31" s="48">
        <v>3.5</v>
      </c>
      <c r="F31" s="48">
        <v>4.0</v>
      </c>
      <c r="G31" s="48">
        <v>5.0</v>
      </c>
      <c r="H31" s="48">
        <v>2.5</v>
      </c>
      <c r="I31" s="48">
        <v>2.5</v>
      </c>
      <c r="J31" s="49" t="s">
        <v>89</v>
      </c>
      <c r="K31" s="50">
        <v>32.0</v>
      </c>
      <c r="L31" s="51">
        <v>31.75</v>
      </c>
      <c r="M31" s="52">
        <f t="shared" si="1"/>
        <v>0.79375</v>
      </c>
      <c r="N31" s="53" t="s">
        <v>63</v>
      </c>
      <c r="P31" s="54" t="str">
        <f>IFERROR(__xludf.DUMMYFUNCTION("IFERROR(VALUE(REGEXEXTRACT(K31,""^[0-9]+(?:\.[0-9]+)?"")),)"),"")</f>
        <v/>
      </c>
    </row>
    <row r="32">
      <c r="A32" s="47" t="s">
        <v>90</v>
      </c>
      <c r="B32" s="48">
        <v>4.5</v>
      </c>
      <c r="C32" s="48">
        <v>4.0</v>
      </c>
      <c r="D32" s="48">
        <v>4.0</v>
      </c>
      <c r="E32" s="48">
        <v>3.5</v>
      </c>
      <c r="F32" s="48">
        <v>4.0</v>
      </c>
      <c r="G32" s="48">
        <v>4.0</v>
      </c>
      <c r="H32" s="48">
        <v>3.5</v>
      </c>
      <c r="I32" s="48">
        <v>4.0</v>
      </c>
      <c r="J32" s="49" t="s">
        <v>91</v>
      </c>
      <c r="K32" s="50">
        <v>31.5</v>
      </c>
      <c r="L32" s="51">
        <v>31.5</v>
      </c>
      <c r="M32" s="52">
        <f t="shared" si="1"/>
        <v>0.7875</v>
      </c>
      <c r="N32" s="53" t="s">
        <v>87</v>
      </c>
      <c r="P32" s="54" t="str">
        <f>IFERROR(__xludf.DUMMYFUNCTION("IFERROR(VALUE(REGEXEXTRACT(K32,""^[0-9]+(?:\.[0-9]+)?"")),)"),"")</f>
        <v/>
      </c>
    </row>
    <row r="33">
      <c r="A33" s="47" t="s">
        <v>92</v>
      </c>
      <c r="B33" s="48">
        <v>4.5</v>
      </c>
      <c r="C33" s="48">
        <v>3.5</v>
      </c>
      <c r="D33" s="48">
        <v>4.0</v>
      </c>
      <c r="E33" s="48">
        <v>3.5</v>
      </c>
      <c r="F33" s="48">
        <v>4.0</v>
      </c>
      <c r="G33" s="48">
        <v>4.0</v>
      </c>
      <c r="H33" s="48">
        <v>3.0</v>
      </c>
      <c r="I33" s="48">
        <v>4.0</v>
      </c>
      <c r="J33" s="49" t="s">
        <v>93</v>
      </c>
      <c r="K33" s="50">
        <v>30.5</v>
      </c>
      <c r="L33" s="51">
        <v>30.5</v>
      </c>
      <c r="M33" s="52">
        <f t="shared" si="1"/>
        <v>0.7625</v>
      </c>
      <c r="N33" s="53" t="s">
        <v>87</v>
      </c>
      <c r="P33" s="54" t="str">
        <f>IFERROR(__xludf.DUMMYFUNCTION("IFERROR(VALUE(REGEXEXTRACT(K33,""^[0-9]+(?:\.[0-9]+)?"")),)"),"")</f>
        <v/>
      </c>
    </row>
    <row r="34">
      <c r="A34" s="47" t="s">
        <v>94</v>
      </c>
      <c r="B34" s="48">
        <v>5.0</v>
      </c>
      <c r="C34" s="48">
        <v>3.0</v>
      </c>
      <c r="D34" s="48">
        <v>3.0</v>
      </c>
      <c r="E34" s="48">
        <v>4.0</v>
      </c>
      <c r="F34" s="48">
        <v>3.5</v>
      </c>
      <c r="G34" s="48">
        <v>4.0</v>
      </c>
      <c r="H34" s="48">
        <v>3.5</v>
      </c>
      <c r="I34" s="48">
        <v>4.5</v>
      </c>
      <c r="J34" s="49" t="s">
        <v>93</v>
      </c>
      <c r="K34" s="50">
        <v>30.5</v>
      </c>
      <c r="L34" s="51">
        <v>30.25</v>
      </c>
      <c r="M34" s="52">
        <f t="shared" si="1"/>
        <v>0.75625</v>
      </c>
      <c r="N34" s="53" t="s">
        <v>87</v>
      </c>
      <c r="P34" s="54" t="str">
        <f>IFERROR(__xludf.DUMMYFUNCTION("IFERROR(VALUE(REGEXEXTRACT(K34,""^[0-9]+(?:\.[0-9]+)?"")),)"),"")</f>
        <v/>
      </c>
    </row>
    <row r="35">
      <c r="A35" s="47" t="s">
        <v>95</v>
      </c>
      <c r="B35" s="48">
        <v>3.5</v>
      </c>
      <c r="C35" s="48">
        <v>3.0</v>
      </c>
      <c r="D35" s="48">
        <v>3.0</v>
      </c>
      <c r="E35" s="48">
        <v>3.0</v>
      </c>
      <c r="F35" s="48">
        <v>5.0</v>
      </c>
      <c r="G35" s="48">
        <v>5.0</v>
      </c>
      <c r="H35" s="48">
        <v>3.5</v>
      </c>
      <c r="I35" s="48">
        <v>4.0</v>
      </c>
      <c r="J35" s="49" t="s">
        <v>96</v>
      </c>
      <c r="K35" s="50">
        <v>30.0</v>
      </c>
      <c r="L35" s="51">
        <v>29.75</v>
      </c>
      <c r="M35" s="52">
        <f t="shared" si="1"/>
        <v>0.74375</v>
      </c>
      <c r="N35" s="53" t="s">
        <v>45</v>
      </c>
      <c r="P35" s="54" t="str">
        <f>IFERROR(__xludf.DUMMYFUNCTION("IFERROR(VALUE(REGEXEXTRACT(K35,""^[0-9]+(?:\.[0-9]+)?"")),)"),"")</f>
        <v/>
      </c>
    </row>
    <row r="36">
      <c r="A36" s="47" t="s">
        <v>97</v>
      </c>
      <c r="B36" s="48">
        <v>4.5</v>
      </c>
      <c r="C36" s="48">
        <v>3.0</v>
      </c>
      <c r="D36" s="48">
        <v>2.5</v>
      </c>
      <c r="E36" s="48">
        <v>2.5</v>
      </c>
      <c r="F36" s="48">
        <v>3.5</v>
      </c>
      <c r="G36" s="48">
        <v>4.5</v>
      </c>
      <c r="H36" s="48">
        <v>3.0</v>
      </c>
      <c r="I36" s="48">
        <v>3.5</v>
      </c>
      <c r="J36" s="49" t="s">
        <v>98</v>
      </c>
      <c r="K36" s="50">
        <v>27.0</v>
      </c>
      <c r="L36" s="51">
        <v>26.75</v>
      </c>
      <c r="M36" s="52">
        <f t="shared" si="1"/>
        <v>0.66875</v>
      </c>
      <c r="N36" s="53" t="s">
        <v>87</v>
      </c>
      <c r="P36" s="54" t="str">
        <f>IFERROR(__xludf.DUMMYFUNCTION("IFERROR(VALUE(REGEXEXTRACT(K36,""^[0-9]+(?:\.[0-9]+)?"")),)"),"")</f>
        <v/>
      </c>
    </row>
    <row r="37">
      <c r="A37" s="47" t="s">
        <v>99</v>
      </c>
      <c r="B37" s="48">
        <v>3.5</v>
      </c>
      <c r="C37" s="48">
        <v>3.0</v>
      </c>
      <c r="D37" s="48">
        <v>2.5</v>
      </c>
      <c r="E37" s="48">
        <v>3.0</v>
      </c>
      <c r="F37" s="48">
        <v>4.5</v>
      </c>
      <c r="G37" s="48">
        <v>3.0</v>
      </c>
      <c r="H37" s="48">
        <v>3.5</v>
      </c>
      <c r="I37" s="48">
        <v>4.0</v>
      </c>
      <c r="J37" s="49" t="s">
        <v>100</v>
      </c>
      <c r="K37" s="50">
        <v>27.0</v>
      </c>
      <c r="L37" s="51">
        <v>26.5</v>
      </c>
      <c r="M37" s="52">
        <f t="shared" si="1"/>
        <v>0.6625</v>
      </c>
      <c r="N37" s="53" t="s">
        <v>63</v>
      </c>
      <c r="P37" s="54" t="str">
        <f>IFERROR(__xludf.DUMMYFUNCTION("IFERROR(VALUE(REGEXEXTRACT(K37,""^[0-9]+(?:\.[0-9]+)?"")),)"),"")</f>
        <v/>
      </c>
    </row>
    <row r="38">
      <c r="A38" s="57" t="s">
        <v>101</v>
      </c>
      <c r="B38" s="48">
        <v>4.5</v>
      </c>
      <c r="C38" s="48">
        <v>3.5</v>
      </c>
      <c r="D38" s="48">
        <v>4.0</v>
      </c>
      <c r="E38" s="48">
        <v>2.5</v>
      </c>
      <c r="F38" s="48">
        <v>5.0</v>
      </c>
      <c r="G38" s="48">
        <v>3.5</v>
      </c>
      <c r="H38" s="48">
        <v>1.5</v>
      </c>
      <c r="I38" s="48">
        <v>2.0</v>
      </c>
      <c r="J38" s="49" t="s">
        <v>102</v>
      </c>
      <c r="K38" s="50">
        <v>26.5</v>
      </c>
      <c r="L38" s="51">
        <v>26.25</v>
      </c>
      <c r="M38" s="52">
        <f t="shared" si="1"/>
        <v>0.65625</v>
      </c>
      <c r="N38" s="53" t="s">
        <v>45</v>
      </c>
      <c r="P38" s="54" t="str">
        <f>IFERROR(__xludf.DUMMYFUNCTION("IFERROR(VALUE(REGEXEXTRACT(K38,""^[0-9]+(?:\.[0-9]+)?"")),)"),"")</f>
        <v/>
      </c>
    </row>
    <row r="39">
      <c r="A39" s="47" t="s">
        <v>103</v>
      </c>
      <c r="B39" s="48">
        <v>3.5</v>
      </c>
      <c r="C39" s="48">
        <v>4.0</v>
      </c>
      <c r="D39" s="48">
        <v>2.5</v>
      </c>
      <c r="E39" s="48">
        <v>3.5</v>
      </c>
      <c r="F39" s="48">
        <v>3.5</v>
      </c>
      <c r="G39" s="48">
        <v>5.0</v>
      </c>
      <c r="H39" s="48">
        <v>2.5</v>
      </c>
      <c r="I39" s="48">
        <v>1.5</v>
      </c>
      <c r="J39" s="49" t="s">
        <v>104</v>
      </c>
      <c r="K39" s="50">
        <v>26.0</v>
      </c>
      <c r="L39" s="51">
        <v>25.75</v>
      </c>
      <c r="M39" s="52">
        <f t="shared" si="1"/>
        <v>0.64375</v>
      </c>
      <c r="N39" s="53" t="s">
        <v>87</v>
      </c>
      <c r="P39" s="54" t="str">
        <f>IFERROR(__xludf.DUMMYFUNCTION("IFERROR(VALUE(REGEXEXTRACT(K39,""^[0-9]+(?:\.[0-9]+)?"")),)"),"")</f>
        <v/>
      </c>
    </row>
    <row r="40">
      <c r="A40" s="47" t="s">
        <v>105</v>
      </c>
      <c r="B40" s="48">
        <v>3.5</v>
      </c>
      <c r="C40" s="48">
        <v>3.0</v>
      </c>
      <c r="D40" s="48">
        <v>3.0</v>
      </c>
      <c r="E40" s="48">
        <v>2.5</v>
      </c>
      <c r="F40" s="48">
        <v>3.0</v>
      </c>
      <c r="G40" s="48">
        <v>4.5</v>
      </c>
      <c r="H40" s="48">
        <v>2.5</v>
      </c>
      <c r="I40" s="48">
        <v>4.0</v>
      </c>
      <c r="J40" s="49" t="s">
        <v>106</v>
      </c>
      <c r="K40" s="50">
        <v>26.0</v>
      </c>
      <c r="L40" s="51">
        <v>25.75</v>
      </c>
      <c r="M40" s="52">
        <f t="shared" si="1"/>
        <v>0.64375</v>
      </c>
      <c r="N40" s="53" t="s">
        <v>87</v>
      </c>
      <c r="P40" s="54" t="str">
        <f>IFERROR(__xludf.DUMMYFUNCTION("IFERROR(VALUE(REGEXEXTRACT(K40,""^[0-9]+(?:\.[0-9]+)?"")),)"),"")</f>
        <v/>
      </c>
    </row>
    <row r="41">
      <c r="A41" s="47" t="s">
        <v>107</v>
      </c>
      <c r="B41" s="48">
        <v>4.0</v>
      </c>
      <c r="C41" s="48">
        <v>2.5</v>
      </c>
      <c r="D41" s="48">
        <v>2.5</v>
      </c>
      <c r="E41" s="48">
        <v>2.5</v>
      </c>
      <c r="F41" s="48">
        <v>3.0</v>
      </c>
      <c r="G41" s="48">
        <v>4.5</v>
      </c>
      <c r="H41" s="48">
        <v>2.0</v>
      </c>
      <c r="I41" s="48">
        <v>4.0</v>
      </c>
      <c r="J41" s="49" t="s">
        <v>108</v>
      </c>
      <c r="K41" s="50">
        <v>25.0</v>
      </c>
      <c r="L41" s="51">
        <v>25.0</v>
      </c>
      <c r="M41" s="52">
        <f t="shared" si="1"/>
        <v>0.625</v>
      </c>
      <c r="N41" s="53" t="s">
        <v>87</v>
      </c>
      <c r="P41" s="54"/>
    </row>
    <row r="42">
      <c r="A42" s="47" t="s">
        <v>109</v>
      </c>
      <c r="B42" s="48">
        <v>3.0</v>
      </c>
      <c r="C42" s="48">
        <v>2.5</v>
      </c>
      <c r="D42" s="48">
        <v>5.0</v>
      </c>
      <c r="E42" s="48">
        <v>2.0</v>
      </c>
      <c r="F42" s="48">
        <v>3.0</v>
      </c>
      <c r="G42" s="48">
        <v>5.0</v>
      </c>
      <c r="H42" s="48">
        <v>2.0</v>
      </c>
      <c r="I42" s="48">
        <v>2.0</v>
      </c>
      <c r="J42" s="49" t="s">
        <v>110</v>
      </c>
      <c r="K42" s="50">
        <v>24.5</v>
      </c>
      <c r="L42" s="51">
        <v>24.25</v>
      </c>
      <c r="M42" s="52">
        <f t="shared" si="1"/>
        <v>0.60625</v>
      </c>
      <c r="N42" s="53" t="s">
        <v>111</v>
      </c>
      <c r="P42" s="54" t="str">
        <f>IFERROR(__xludf.DUMMYFUNCTION("IFERROR(VALUE(REGEXEXTRACT(K42,""^[0-9]+(?:\.[0-9]+)?"")),)"),"")</f>
        <v/>
      </c>
    </row>
    <row r="43">
      <c r="A43" s="47" t="s">
        <v>112</v>
      </c>
      <c r="B43" s="48">
        <v>3.5</v>
      </c>
      <c r="C43" s="48">
        <v>4.0</v>
      </c>
      <c r="D43" s="48">
        <v>2.5</v>
      </c>
      <c r="E43" s="48">
        <v>3.0</v>
      </c>
      <c r="F43" s="48">
        <v>3.0</v>
      </c>
      <c r="G43" s="48">
        <v>5.0</v>
      </c>
      <c r="H43" s="48">
        <v>2.0</v>
      </c>
      <c r="I43" s="48">
        <v>1.0</v>
      </c>
      <c r="J43" s="49" t="s">
        <v>113</v>
      </c>
      <c r="K43" s="50">
        <v>24.0</v>
      </c>
      <c r="L43" s="51">
        <v>23.75</v>
      </c>
      <c r="M43" s="52">
        <f t="shared" si="1"/>
        <v>0.59375</v>
      </c>
      <c r="N43" s="53" t="s">
        <v>87</v>
      </c>
      <c r="P43" s="54" t="str">
        <f>IFERROR(__xludf.DUMMYFUNCTION("IFERROR(VALUE(REGEXEXTRACT(K43,""^[0-9]+(?:\.[0-9]+)?"")),)"),"")</f>
        <v/>
      </c>
    </row>
    <row r="44">
      <c r="A44" s="47" t="s">
        <v>114</v>
      </c>
      <c r="B44" s="48">
        <v>3.5</v>
      </c>
      <c r="C44" s="48">
        <v>2.5</v>
      </c>
      <c r="D44" s="48">
        <v>2.0</v>
      </c>
      <c r="E44" s="48">
        <v>2.0</v>
      </c>
      <c r="F44" s="48">
        <v>3.5</v>
      </c>
      <c r="G44" s="48">
        <v>4.5</v>
      </c>
      <c r="H44" s="48">
        <v>2.0</v>
      </c>
      <c r="I44" s="48">
        <v>4.0</v>
      </c>
      <c r="J44" s="49" t="s">
        <v>115</v>
      </c>
      <c r="K44" s="50">
        <v>24.0</v>
      </c>
      <c r="L44" s="51">
        <v>23.75</v>
      </c>
      <c r="M44" s="52">
        <f t="shared" si="1"/>
        <v>0.59375</v>
      </c>
      <c r="N44" s="53" t="s">
        <v>87</v>
      </c>
      <c r="P44" s="54" t="str">
        <f>IFERROR(__xludf.DUMMYFUNCTION("IFERROR(VALUE(REGEXEXTRACT(K44,""^[0-9]+(?:\.[0-9]+)?"")),)"),"")</f>
        <v/>
      </c>
    </row>
    <row r="45">
      <c r="A45" s="47" t="s">
        <v>116</v>
      </c>
      <c r="B45" s="48">
        <v>3.5</v>
      </c>
      <c r="C45" s="48">
        <v>4.0</v>
      </c>
      <c r="D45" s="48">
        <v>2.5</v>
      </c>
      <c r="E45" s="48">
        <v>3.0</v>
      </c>
      <c r="F45" s="48">
        <v>3.0</v>
      </c>
      <c r="G45" s="48">
        <v>4.5</v>
      </c>
      <c r="H45" s="48">
        <v>2.0</v>
      </c>
      <c r="I45" s="48">
        <v>1.0</v>
      </c>
      <c r="J45" s="49" t="s">
        <v>117</v>
      </c>
      <c r="K45" s="50">
        <v>23.5</v>
      </c>
      <c r="L45" s="51">
        <v>23.25</v>
      </c>
      <c r="M45" s="52">
        <f t="shared" si="1"/>
        <v>0.58125</v>
      </c>
      <c r="N45" s="53" t="s">
        <v>87</v>
      </c>
      <c r="P45" s="54"/>
    </row>
    <row r="46">
      <c r="A46" s="47" t="s">
        <v>118</v>
      </c>
      <c r="B46" s="48">
        <v>1.5</v>
      </c>
      <c r="C46" s="48">
        <v>4.0</v>
      </c>
      <c r="D46" s="48">
        <v>5.0</v>
      </c>
      <c r="E46" s="48">
        <v>2.0</v>
      </c>
      <c r="F46" s="48">
        <v>0.0</v>
      </c>
      <c r="G46" s="48">
        <v>5.0</v>
      </c>
      <c r="H46" s="48">
        <v>1.0</v>
      </c>
      <c r="I46" s="48">
        <v>2.0</v>
      </c>
      <c r="J46" s="49" t="s">
        <v>119</v>
      </c>
      <c r="K46" s="50">
        <v>20.5</v>
      </c>
      <c r="L46" s="51">
        <v>20.25</v>
      </c>
      <c r="M46" s="52">
        <f t="shared" si="1"/>
        <v>0.50625</v>
      </c>
      <c r="N46" s="53" t="s">
        <v>111</v>
      </c>
      <c r="P46" s="54" t="str">
        <f>IFERROR(__xludf.DUMMYFUNCTION("IFERROR(VALUE(REGEXEXTRACT(K46,""^[0-9]+(?:\.[0-9]+)?"")),)"),"")</f>
        <v/>
      </c>
    </row>
    <row r="47">
      <c r="A47" s="57" t="s">
        <v>120</v>
      </c>
      <c r="B47" s="48">
        <v>0.0</v>
      </c>
      <c r="C47" s="48">
        <v>1.5</v>
      </c>
      <c r="D47" s="48">
        <v>3.0</v>
      </c>
      <c r="E47" s="48">
        <v>3.0</v>
      </c>
      <c r="F47" s="48">
        <v>4.5</v>
      </c>
      <c r="G47" s="48">
        <v>2.0</v>
      </c>
      <c r="H47" s="48">
        <v>2.0</v>
      </c>
      <c r="I47" s="48">
        <v>3.5</v>
      </c>
      <c r="J47" s="49" t="s">
        <v>121</v>
      </c>
      <c r="K47" s="50">
        <v>19.5</v>
      </c>
      <c r="L47" s="51">
        <v>19.25</v>
      </c>
      <c r="M47" s="52">
        <f t="shared" si="1"/>
        <v>0.48125</v>
      </c>
      <c r="N47" s="53" t="s">
        <v>111</v>
      </c>
      <c r="P47" s="54" t="str">
        <f>IFERROR(__xludf.DUMMYFUNCTION("IFERROR(VALUE(REGEXEXTRACT(K47,""^[0-9]+(?:\.[0-9]+)?"")),)"),"")</f>
        <v/>
      </c>
    </row>
    <row r="48">
      <c r="A48" s="57" t="s">
        <v>122</v>
      </c>
      <c r="B48" s="48">
        <v>3.0</v>
      </c>
      <c r="C48" s="48">
        <v>2.5</v>
      </c>
      <c r="D48" s="48">
        <v>2.5</v>
      </c>
      <c r="E48" s="48">
        <v>3.0</v>
      </c>
      <c r="F48" s="48">
        <v>0.5</v>
      </c>
      <c r="G48" s="48">
        <v>2.0</v>
      </c>
      <c r="H48" s="48">
        <v>2.0</v>
      </c>
      <c r="I48" s="48">
        <v>4.0</v>
      </c>
      <c r="J48" s="49" t="s">
        <v>123</v>
      </c>
      <c r="K48" s="50">
        <v>19.5</v>
      </c>
      <c r="L48" s="51">
        <v>19.0</v>
      </c>
      <c r="M48" s="52">
        <f t="shared" si="1"/>
        <v>0.475</v>
      </c>
      <c r="N48" s="53" t="s">
        <v>87</v>
      </c>
      <c r="P48" s="54" t="str">
        <f>IFERROR(__xludf.DUMMYFUNCTION("IFERROR(VALUE(REGEXEXTRACT(K48,""^[0-9]+(?:\.[0-9]+)?"")),)"),"")</f>
        <v/>
      </c>
    </row>
    <row r="49">
      <c r="A49" s="57" t="s">
        <v>124</v>
      </c>
      <c r="B49" s="48">
        <v>0.5</v>
      </c>
      <c r="C49" s="48">
        <v>3.0</v>
      </c>
      <c r="D49" s="48">
        <v>3.5</v>
      </c>
      <c r="E49" s="48">
        <v>2.5</v>
      </c>
      <c r="F49" s="48">
        <v>0.0</v>
      </c>
      <c r="G49" s="48">
        <v>2.0</v>
      </c>
      <c r="H49" s="48">
        <v>1.0</v>
      </c>
      <c r="I49" s="48">
        <v>3.0</v>
      </c>
      <c r="J49" s="49" t="s">
        <v>125</v>
      </c>
      <c r="K49" s="50">
        <v>15.5</v>
      </c>
      <c r="L49" s="51">
        <v>15.25</v>
      </c>
      <c r="M49" s="52">
        <f t="shared" si="1"/>
        <v>0.38125</v>
      </c>
      <c r="N49" s="53" t="s">
        <v>111</v>
      </c>
      <c r="P49" s="54" t="str">
        <f>IFERROR(__xludf.DUMMYFUNCTION("IFERROR(VALUE(REGEXEXTRACT(K49,""^[0-9]+(?:\.[0-9]+)?"")),)"),"")</f>
        <v/>
      </c>
    </row>
    <row r="50">
      <c r="A50" s="57" t="s">
        <v>126</v>
      </c>
      <c r="B50" s="48">
        <v>0.5</v>
      </c>
      <c r="C50" s="48">
        <v>0.0</v>
      </c>
      <c r="D50" s="48">
        <v>0.5</v>
      </c>
      <c r="E50" s="48">
        <v>0.5</v>
      </c>
      <c r="F50" s="48">
        <v>0.0</v>
      </c>
      <c r="G50" s="48">
        <v>1.0</v>
      </c>
      <c r="H50" s="48">
        <v>0.5</v>
      </c>
      <c r="I50" s="48">
        <v>3.0</v>
      </c>
      <c r="J50" s="49" t="s">
        <v>127</v>
      </c>
      <c r="K50" s="50">
        <v>6.5</v>
      </c>
      <c r="L50" s="51">
        <v>6.25</v>
      </c>
      <c r="M50" s="52">
        <f t="shared" si="1"/>
        <v>0.15625</v>
      </c>
      <c r="N50" s="53" t="s">
        <v>87</v>
      </c>
      <c r="P50" s="54" t="str">
        <f>IFERROR(__xludf.DUMMYFUNCTION("IFERROR(VALUE(REGEXEXTRACT(K50,""^[0-9]+(?:\.[0-9]+)?"")),)"),"")</f>
        <v/>
      </c>
    </row>
    <row r="51">
      <c r="A51" s="58" t="s">
        <v>128</v>
      </c>
      <c r="B51" s="59">
        <v>1.0</v>
      </c>
      <c r="C51" s="59">
        <v>0.0</v>
      </c>
      <c r="D51" s="59">
        <v>0.5</v>
      </c>
      <c r="E51" s="59">
        <v>0.5</v>
      </c>
      <c r="F51" s="59">
        <v>0.0</v>
      </c>
      <c r="G51" s="59">
        <v>0.0</v>
      </c>
      <c r="H51" s="59">
        <v>0.5</v>
      </c>
      <c r="I51" s="59">
        <v>0.5</v>
      </c>
      <c r="J51" s="60" t="s">
        <v>129</v>
      </c>
      <c r="K51" s="61">
        <v>3.5</v>
      </c>
      <c r="L51" s="62">
        <v>3.25</v>
      </c>
      <c r="M51" s="52">
        <f t="shared" si="1"/>
        <v>0.08125</v>
      </c>
      <c r="N51" s="53" t="s">
        <v>87</v>
      </c>
      <c r="P51" s="54" t="str">
        <f>IFERROR(__xludf.DUMMYFUNCTION("IFERROR(VALUE(REGEXEXTRACT(K51,""^[0-9]+(?:\.[0-9]+)?"")),)"),"")</f>
        <v/>
      </c>
    </row>
    <row r="52">
      <c r="J52" s="63"/>
      <c r="K52" s="64"/>
      <c r="L52" s="65"/>
      <c r="M52" s="66"/>
      <c r="N52" s="67"/>
      <c r="P52" s="68"/>
    </row>
    <row r="53">
      <c r="J53" s="63"/>
      <c r="K53" s="64"/>
      <c r="L53" s="65"/>
      <c r="M53" s="66"/>
      <c r="N53" s="67"/>
      <c r="P53" s="68"/>
    </row>
    <row r="54">
      <c r="J54" s="63"/>
      <c r="K54" s="64"/>
      <c r="L54" s="65"/>
      <c r="M54" s="66"/>
      <c r="N54" s="67"/>
      <c r="P54" s="68"/>
    </row>
    <row r="55">
      <c r="J55" s="63"/>
      <c r="K55" s="64"/>
      <c r="L55" s="65"/>
      <c r="M55" s="66"/>
      <c r="N55" s="67"/>
      <c r="P55" s="68"/>
    </row>
    <row r="56">
      <c r="J56" s="63"/>
      <c r="K56" s="64"/>
      <c r="L56" s="65"/>
      <c r="M56" s="66"/>
      <c r="N56" s="67"/>
      <c r="P56" s="68"/>
    </row>
    <row r="57">
      <c r="J57" s="63"/>
      <c r="K57" s="64"/>
      <c r="L57" s="65"/>
      <c r="M57" s="66"/>
      <c r="N57" s="67"/>
      <c r="P57" s="68"/>
    </row>
    <row r="58">
      <c r="J58" s="63"/>
      <c r="K58" s="64"/>
      <c r="L58" s="65"/>
      <c r="M58" s="66"/>
      <c r="N58" s="67"/>
      <c r="P58" s="68"/>
    </row>
    <row r="59">
      <c r="J59" s="63"/>
      <c r="K59" s="64"/>
      <c r="L59" s="65"/>
      <c r="M59" s="66"/>
      <c r="N59" s="67"/>
      <c r="P59" s="68"/>
    </row>
    <row r="60">
      <c r="J60" s="63"/>
      <c r="K60" s="64"/>
      <c r="L60" s="65"/>
      <c r="M60" s="66"/>
      <c r="N60" s="67"/>
      <c r="P60" s="68"/>
    </row>
    <row r="61">
      <c r="J61" s="63"/>
      <c r="K61" s="64"/>
      <c r="L61" s="65"/>
      <c r="M61" s="66"/>
      <c r="N61" s="67"/>
      <c r="P61" s="68"/>
    </row>
    <row r="62">
      <c r="J62" s="63"/>
      <c r="K62" s="64"/>
      <c r="L62" s="65"/>
      <c r="M62" s="66"/>
      <c r="N62" s="67"/>
      <c r="P62" s="68"/>
    </row>
    <row r="63">
      <c r="J63" s="63"/>
      <c r="K63" s="64"/>
      <c r="L63" s="65"/>
      <c r="M63" s="66"/>
      <c r="N63" s="67"/>
      <c r="P63" s="68"/>
    </row>
    <row r="64">
      <c r="J64" s="63"/>
      <c r="K64" s="64"/>
      <c r="L64" s="65"/>
      <c r="M64" s="66"/>
      <c r="N64" s="67"/>
      <c r="P64" s="68"/>
    </row>
    <row r="65">
      <c r="J65" s="63"/>
      <c r="K65" s="64"/>
      <c r="L65" s="65"/>
      <c r="M65" s="66"/>
      <c r="N65" s="67"/>
      <c r="P65" s="68"/>
    </row>
    <row r="66">
      <c r="J66" s="63"/>
      <c r="K66" s="64"/>
      <c r="L66" s="65"/>
      <c r="M66" s="66"/>
      <c r="N66" s="67"/>
      <c r="P66" s="68"/>
    </row>
    <row r="67">
      <c r="J67" s="63"/>
      <c r="K67" s="64"/>
      <c r="L67" s="65"/>
      <c r="M67" s="66"/>
      <c r="N67" s="67"/>
      <c r="P67" s="68"/>
    </row>
    <row r="68">
      <c r="J68" s="63"/>
      <c r="K68" s="64"/>
      <c r="L68" s="65"/>
      <c r="M68" s="66"/>
      <c r="N68" s="67"/>
      <c r="P68" s="68"/>
    </row>
    <row r="69">
      <c r="J69" s="63"/>
      <c r="K69" s="64"/>
      <c r="L69" s="65"/>
      <c r="M69" s="66"/>
      <c r="N69" s="67"/>
      <c r="P69" s="68"/>
    </row>
    <row r="70">
      <c r="J70" s="63"/>
      <c r="K70" s="64"/>
      <c r="L70" s="65"/>
      <c r="M70" s="66"/>
      <c r="N70" s="67"/>
      <c r="P70" s="68"/>
    </row>
    <row r="71">
      <c r="J71" s="63"/>
      <c r="K71" s="64"/>
      <c r="L71" s="65"/>
      <c r="M71" s="66"/>
      <c r="N71" s="67"/>
      <c r="P71" s="68"/>
    </row>
    <row r="72">
      <c r="J72" s="63"/>
      <c r="K72" s="64"/>
      <c r="L72" s="65"/>
      <c r="M72" s="66"/>
      <c r="N72" s="67"/>
      <c r="P72" s="68"/>
    </row>
    <row r="73">
      <c r="J73" s="63"/>
      <c r="K73" s="64"/>
      <c r="L73" s="65"/>
      <c r="M73" s="66"/>
      <c r="N73" s="67"/>
      <c r="P73" s="68"/>
    </row>
    <row r="74">
      <c r="J74" s="63"/>
      <c r="K74" s="64"/>
      <c r="L74" s="65"/>
      <c r="M74" s="66"/>
      <c r="N74" s="67"/>
      <c r="P74" s="68"/>
    </row>
    <row r="75">
      <c r="J75" s="63"/>
      <c r="K75" s="64"/>
      <c r="L75" s="65"/>
      <c r="M75" s="66"/>
      <c r="N75" s="67"/>
      <c r="P75" s="68"/>
    </row>
    <row r="76">
      <c r="J76" s="63"/>
      <c r="K76" s="64"/>
      <c r="L76" s="65"/>
      <c r="M76" s="66"/>
      <c r="N76" s="67"/>
      <c r="P76" s="68"/>
    </row>
    <row r="77">
      <c r="J77" s="63"/>
      <c r="K77" s="64"/>
      <c r="L77" s="65"/>
      <c r="M77" s="66"/>
      <c r="N77" s="67"/>
      <c r="P77" s="68"/>
    </row>
    <row r="78">
      <c r="J78" s="63"/>
      <c r="K78" s="64"/>
      <c r="L78" s="65"/>
      <c r="M78" s="66"/>
      <c r="N78" s="67"/>
      <c r="P78" s="68"/>
    </row>
    <row r="79">
      <c r="J79" s="63"/>
      <c r="K79" s="64"/>
      <c r="L79" s="65"/>
      <c r="M79" s="66"/>
      <c r="N79" s="67"/>
      <c r="P79" s="68"/>
    </row>
    <row r="80">
      <c r="J80" s="63"/>
      <c r="K80" s="64"/>
      <c r="L80" s="65"/>
      <c r="M80" s="66"/>
      <c r="N80" s="67"/>
      <c r="P80" s="68"/>
    </row>
    <row r="81">
      <c r="J81" s="63"/>
      <c r="K81" s="64"/>
      <c r="L81" s="65"/>
      <c r="M81" s="66"/>
      <c r="N81" s="67"/>
      <c r="P81" s="68"/>
    </row>
    <row r="82">
      <c r="J82" s="63"/>
      <c r="K82" s="64"/>
      <c r="L82" s="65"/>
      <c r="M82" s="66"/>
      <c r="N82" s="67"/>
      <c r="P82" s="68"/>
    </row>
    <row r="83">
      <c r="J83" s="63"/>
      <c r="K83" s="64"/>
      <c r="L83" s="65"/>
      <c r="M83" s="66"/>
      <c r="N83" s="67"/>
      <c r="P83" s="68"/>
    </row>
    <row r="84">
      <c r="J84" s="63"/>
      <c r="K84" s="64"/>
      <c r="L84" s="65"/>
      <c r="M84" s="66"/>
      <c r="N84" s="67"/>
      <c r="P84" s="68"/>
    </row>
    <row r="85">
      <c r="J85" s="63"/>
      <c r="K85" s="64"/>
      <c r="L85" s="65"/>
      <c r="M85" s="66"/>
      <c r="N85" s="67"/>
      <c r="P85" s="68"/>
    </row>
    <row r="86">
      <c r="J86" s="63"/>
      <c r="K86" s="64"/>
      <c r="L86" s="65"/>
      <c r="M86" s="66"/>
      <c r="N86" s="67"/>
      <c r="P86" s="68"/>
    </row>
    <row r="87">
      <c r="J87" s="63"/>
      <c r="K87" s="64"/>
      <c r="L87" s="65"/>
      <c r="M87" s="66"/>
      <c r="N87" s="67"/>
      <c r="P87" s="68"/>
    </row>
    <row r="88">
      <c r="J88" s="63"/>
      <c r="K88" s="64"/>
      <c r="L88" s="65"/>
      <c r="M88" s="66"/>
      <c r="N88" s="67"/>
      <c r="P88" s="68"/>
    </row>
    <row r="89">
      <c r="J89" s="63"/>
      <c r="K89" s="64"/>
      <c r="L89" s="65"/>
      <c r="M89" s="66"/>
      <c r="N89" s="67"/>
      <c r="P89" s="68"/>
    </row>
    <row r="90">
      <c r="J90" s="63"/>
      <c r="K90" s="64"/>
      <c r="L90" s="65"/>
      <c r="M90" s="66"/>
      <c r="N90" s="67"/>
      <c r="P90" s="68"/>
    </row>
    <row r="91">
      <c r="J91" s="63"/>
      <c r="K91" s="64"/>
      <c r="L91" s="65"/>
      <c r="M91" s="66"/>
      <c r="N91" s="67"/>
      <c r="P91" s="68"/>
    </row>
    <row r="92">
      <c r="J92" s="63"/>
      <c r="K92" s="64"/>
      <c r="L92" s="65"/>
      <c r="M92" s="66"/>
      <c r="N92" s="67"/>
      <c r="P92" s="68"/>
    </row>
    <row r="93">
      <c r="J93" s="63"/>
      <c r="K93" s="64"/>
      <c r="L93" s="65"/>
      <c r="M93" s="66"/>
      <c r="N93" s="67"/>
      <c r="P93" s="68"/>
    </row>
    <row r="94">
      <c r="J94" s="63"/>
      <c r="K94" s="64"/>
      <c r="L94" s="65"/>
      <c r="M94" s="66"/>
      <c r="N94" s="67"/>
      <c r="P94" s="68"/>
    </row>
    <row r="95">
      <c r="J95" s="63"/>
      <c r="K95" s="64"/>
      <c r="L95" s="65"/>
      <c r="M95" s="66"/>
      <c r="N95" s="67"/>
      <c r="P95" s="68"/>
    </row>
    <row r="96">
      <c r="J96" s="63"/>
      <c r="K96" s="64"/>
      <c r="L96" s="65"/>
      <c r="M96" s="66"/>
      <c r="N96" s="67"/>
      <c r="P96" s="68"/>
    </row>
    <row r="97">
      <c r="J97" s="63"/>
      <c r="K97" s="64"/>
      <c r="L97" s="65"/>
      <c r="M97" s="66"/>
      <c r="N97" s="67"/>
      <c r="P97" s="68"/>
    </row>
    <row r="98">
      <c r="J98" s="63"/>
      <c r="K98" s="64"/>
      <c r="L98" s="65"/>
      <c r="M98" s="66"/>
      <c r="N98" s="67"/>
      <c r="P98" s="68"/>
    </row>
    <row r="99">
      <c r="J99" s="63"/>
      <c r="K99" s="64"/>
      <c r="L99" s="65"/>
      <c r="M99" s="66"/>
      <c r="N99" s="67"/>
      <c r="P99" s="68"/>
    </row>
    <row r="100">
      <c r="J100" s="63"/>
      <c r="K100" s="64"/>
      <c r="L100" s="65"/>
      <c r="M100" s="66"/>
      <c r="N100" s="67"/>
      <c r="P100" s="68"/>
    </row>
    <row r="101">
      <c r="J101" s="63"/>
      <c r="K101" s="64"/>
      <c r="L101" s="65"/>
      <c r="M101" s="66"/>
      <c r="N101" s="67"/>
      <c r="P101" s="68"/>
    </row>
    <row r="102">
      <c r="J102" s="63"/>
      <c r="K102" s="64"/>
      <c r="L102" s="65"/>
      <c r="M102" s="66"/>
      <c r="N102" s="67"/>
      <c r="P102" s="68"/>
    </row>
    <row r="103">
      <c r="J103" s="63"/>
      <c r="K103" s="64"/>
      <c r="L103" s="65"/>
      <c r="M103" s="66"/>
      <c r="N103" s="67"/>
      <c r="P103" s="68"/>
    </row>
    <row r="104">
      <c r="J104" s="63"/>
      <c r="K104" s="64"/>
      <c r="L104" s="65"/>
      <c r="M104" s="66"/>
      <c r="N104" s="67"/>
      <c r="P104" s="68"/>
    </row>
    <row r="105">
      <c r="J105" s="63"/>
      <c r="K105" s="64"/>
      <c r="L105" s="65"/>
      <c r="M105" s="66"/>
      <c r="N105" s="67"/>
      <c r="P105" s="68"/>
    </row>
    <row r="106">
      <c r="J106" s="63"/>
      <c r="K106" s="64"/>
      <c r="L106" s="65"/>
      <c r="M106" s="66"/>
      <c r="N106" s="67"/>
      <c r="P106" s="68"/>
    </row>
    <row r="107">
      <c r="J107" s="63"/>
      <c r="K107" s="64"/>
      <c r="L107" s="65"/>
      <c r="M107" s="66"/>
      <c r="N107" s="67"/>
      <c r="P107" s="68"/>
    </row>
    <row r="108">
      <c r="J108" s="63"/>
      <c r="K108" s="64"/>
      <c r="L108" s="65"/>
      <c r="M108" s="66"/>
      <c r="N108" s="67"/>
      <c r="P108" s="68"/>
    </row>
    <row r="109">
      <c r="J109" s="63"/>
      <c r="K109" s="64"/>
      <c r="L109" s="65"/>
      <c r="M109" s="66"/>
      <c r="N109" s="67"/>
      <c r="P109" s="68"/>
    </row>
    <row r="110">
      <c r="J110" s="63"/>
      <c r="K110" s="64"/>
      <c r="L110" s="65"/>
      <c r="M110" s="66"/>
      <c r="N110" s="67"/>
      <c r="P110" s="68"/>
    </row>
    <row r="111">
      <c r="J111" s="63"/>
      <c r="K111" s="64"/>
      <c r="L111" s="65"/>
      <c r="M111" s="66"/>
      <c r="N111" s="67"/>
      <c r="P111" s="68"/>
    </row>
    <row r="112">
      <c r="J112" s="63"/>
      <c r="K112" s="64"/>
      <c r="L112" s="65"/>
      <c r="M112" s="66"/>
      <c r="N112" s="67"/>
      <c r="P112" s="68"/>
    </row>
    <row r="113">
      <c r="J113" s="63"/>
      <c r="K113" s="64"/>
      <c r="L113" s="65"/>
      <c r="M113" s="66"/>
      <c r="N113" s="67"/>
      <c r="P113" s="68"/>
    </row>
    <row r="114">
      <c r="J114" s="63"/>
      <c r="K114" s="64"/>
      <c r="L114" s="65"/>
      <c r="M114" s="66"/>
      <c r="N114" s="67"/>
      <c r="P114" s="68"/>
    </row>
    <row r="115">
      <c r="J115" s="63"/>
      <c r="K115" s="64"/>
      <c r="L115" s="65"/>
      <c r="M115" s="66"/>
      <c r="N115" s="67"/>
      <c r="P115" s="68"/>
    </row>
    <row r="116">
      <c r="J116" s="63"/>
      <c r="K116" s="64"/>
      <c r="L116" s="65"/>
      <c r="M116" s="66"/>
      <c r="N116" s="67"/>
      <c r="P116" s="68"/>
    </row>
    <row r="117">
      <c r="J117" s="63"/>
      <c r="K117" s="64"/>
      <c r="L117" s="65"/>
      <c r="M117" s="66"/>
      <c r="N117" s="67"/>
      <c r="P117" s="68"/>
    </row>
    <row r="118">
      <c r="J118" s="63"/>
      <c r="K118" s="64"/>
      <c r="L118" s="65"/>
      <c r="M118" s="66"/>
      <c r="N118" s="67"/>
      <c r="P118" s="68"/>
    </row>
    <row r="119">
      <c r="J119" s="63"/>
      <c r="K119" s="64"/>
      <c r="L119" s="65"/>
      <c r="M119" s="66"/>
      <c r="N119" s="67"/>
      <c r="P119" s="68"/>
    </row>
    <row r="120">
      <c r="J120" s="63"/>
      <c r="K120" s="64"/>
      <c r="L120" s="65"/>
      <c r="M120" s="66"/>
      <c r="N120" s="67"/>
      <c r="P120" s="68"/>
    </row>
    <row r="121">
      <c r="J121" s="63"/>
      <c r="K121" s="64"/>
      <c r="L121" s="65"/>
      <c r="M121" s="66"/>
      <c r="N121" s="67"/>
      <c r="P121" s="68"/>
    </row>
    <row r="122">
      <c r="J122" s="63"/>
      <c r="K122" s="64"/>
      <c r="L122" s="65"/>
      <c r="M122" s="66"/>
      <c r="N122" s="67"/>
      <c r="P122" s="68"/>
    </row>
    <row r="123">
      <c r="J123" s="63"/>
      <c r="K123" s="64"/>
      <c r="L123" s="65"/>
      <c r="M123" s="66"/>
      <c r="N123" s="67"/>
      <c r="P123" s="68"/>
    </row>
    <row r="124">
      <c r="J124" s="63"/>
      <c r="K124" s="64"/>
      <c r="L124" s="65"/>
      <c r="M124" s="66"/>
      <c r="N124" s="67"/>
      <c r="P124" s="68"/>
    </row>
    <row r="125">
      <c r="J125" s="63"/>
      <c r="K125" s="64"/>
      <c r="L125" s="65"/>
      <c r="M125" s="66"/>
      <c r="N125" s="67"/>
      <c r="P125" s="68"/>
    </row>
    <row r="126">
      <c r="J126" s="63"/>
      <c r="K126" s="64"/>
      <c r="L126" s="65"/>
      <c r="M126" s="66"/>
      <c r="N126" s="67"/>
      <c r="P126" s="68"/>
    </row>
    <row r="127">
      <c r="J127" s="63"/>
      <c r="K127" s="64"/>
      <c r="L127" s="65"/>
      <c r="M127" s="66"/>
      <c r="N127" s="67"/>
      <c r="P127" s="68"/>
    </row>
    <row r="128">
      <c r="J128" s="63"/>
      <c r="K128" s="64"/>
      <c r="L128" s="65"/>
      <c r="M128" s="66"/>
      <c r="N128" s="67"/>
      <c r="P128" s="68"/>
    </row>
    <row r="129">
      <c r="J129" s="63"/>
      <c r="K129" s="64"/>
      <c r="L129" s="65"/>
      <c r="M129" s="66"/>
      <c r="N129" s="67"/>
      <c r="P129" s="68"/>
    </row>
    <row r="130">
      <c r="J130" s="63"/>
      <c r="K130" s="64"/>
      <c r="L130" s="65"/>
      <c r="M130" s="66"/>
      <c r="N130" s="67"/>
      <c r="P130" s="68"/>
    </row>
    <row r="131">
      <c r="J131" s="63"/>
      <c r="K131" s="64"/>
      <c r="L131" s="65"/>
      <c r="M131" s="66"/>
      <c r="N131" s="67"/>
      <c r="P131" s="68"/>
    </row>
    <row r="132">
      <c r="J132" s="63"/>
      <c r="K132" s="64"/>
      <c r="L132" s="65"/>
      <c r="M132" s="66"/>
      <c r="N132" s="67"/>
      <c r="P132" s="68"/>
    </row>
    <row r="133">
      <c r="J133" s="63"/>
      <c r="K133" s="64"/>
      <c r="L133" s="65"/>
      <c r="M133" s="66"/>
      <c r="N133" s="67"/>
      <c r="P133" s="68"/>
    </row>
    <row r="134">
      <c r="J134" s="63"/>
      <c r="K134" s="64"/>
      <c r="L134" s="65"/>
      <c r="M134" s="66"/>
      <c r="N134" s="67"/>
      <c r="P134" s="68"/>
    </row>
    <row r="135">
      <c r="J135" s="63"/>
      <c r="K135" s="64"/>
      <c r="L135" s="65"/>
      <c r="M135" s="66"/>
      <c r="N135" s="67"/>
      <c r="P135" s="68"/>
    </row>
    <row r="136">
      <c r="J136" s="63"/>
      <c r="K136" s="64"/>
      <c r="L136" s="65"/>
      <c r="M136" s="66"/>
      <c r="N136" s="67"/>
      <c r="P136" s="68"/>
    </row>
    <row r="137">
      <c r="J137" s="63"/>
      <c r="K137" s="64"/>
      <c r="L137" s="65"/>
      <c r="M137" s="66"/>
      <c r="N137" s="67"/>
      <c r="P137" s="68"/>
    </row>
    <row r="138">
      <c r="J138" s="63"/>
      <c r="K138" s="64"/>
      <c r="L138" s="65"/>
      <c r="M138" s="66"/>
      <c r="N138" s="67"/>
      <c r="P138" s="68"/>
    </row>
    <row r="139">
      <c r="J139" s="63"/>
      <c r="K139" s="64"/>
      <c r="L139" s="65"/>
      <c r="M139" s="66"/>
      <c r="N139" s="67"/>
      <c r="P139" s="68"/>
    </row>
    <row r="140">
      <c r="J140" s="63"/>
      <c r="K140" s="64"/>
      <c r="L140" s="65"/>
      <c r="M140" s="66"/>
      <c r="N140" s="67"/>
      <c r="P140" s="68"/>
    </row>
    <row r="141">
      <c r="J141" s="63"/>
      <c r="K141" s="64"/>
      <c r="L141" s="65"/>
      <c r="M141" s="66"/>
      <c r="N141" s="67"/>
      <c r="P141" s="68"/>
    </row>
    <row r="142">
      <c r="J142" s="63"/>
      <c r="K142" s="64"/>
      <c r="L142" s="65"/>
      <c r="M142" s="66"/>
      <c r="N142" s="67"/>
      <c r="P142" s="68"/>
    </row>
    <row r="143">
      <c r="J143" s="63"/>
      <c r="K143" s="64"/>
      <c r="L143" s="65"/>
      <c r="M143" s="66"/>
      <c r="N143" s="67"/>
      <c r="P143" s="68"/>
    </row>
    <row r="144">
      <c r="J144" s="63"/>
      <c r="K144" s="64"/>
      <c r="L144" s="65"/>
      <c r="M144" s="66"/>
      <c r="N144" s="67"/>
      <c r="P144" s="68"/>
    </row>
    <row r="145">
      <c r="J145" s="63"/>
      <c r="K145" s="64"/>
      <c r="L145" s="65"/>
      <c r="M145" s="66"/>
      <c r="N145" s="67"/>
      <c r="P145" s="68"/>
    </row>
    <row r="146">
      <c r="J146" s="63"/>
      <c r="K146" s="64"/>
      <c r="L146" s="65"/>
      <c r="M146" s="66"/>
      <c r="N146" s="67"/>
      <c r="P146" s="68"/>
    </row>
    <row r="147">
      <c r="J147" s="63"/>
      <c r="K147" s="64"/>
      <c r="L147" s="65"/>
      <c r="M147" s="66"/>
      <c r="N147" s="67"/>
      <c r="P147" s="68"/>
    </row>
    <row r="148">
      <c r="J148" s="63"/>
      <c r="K148" s="64"/>
      <c r="L148" s="65"/>
      <c r="M148" s="66"/>
      <c r="N148" s="67"/>
      <c r="P148" s="68"/>
    </row>
    <row r="149">
      <c r="J149" s="63"/>
      <c r="K149" s="64"/>
      <c r="L149" s="65"/>
      <c r="M149" s="66"/>
      <c r="N149" s="67"/>
      <c r="P149" s="68"/>
    </row>
    <row r="150">
      <c r="J150" s="63"/>
      <c r="K150" s="64"/>
      <c r="L150" s="65"/>
      <c r="M150" s="66"/>
      <c r="N150" s="67"/>
      <c r="P150" s="68"/>
    </row>
    <row r="151">
      <c r="J151" s="63"/>
      <c r="K151" s="64"/>
      <c r="L151" s="65"/>
      <c r="M151" s="66"/>
      <c r="N151" s="67"/>
      <c r="P151" s="68"/>
    </row>
    <row r="152">
      <c r="J152" s="63"/>
      <c r="K152" s="64"/>
      <c r="L152" s="65"/>
      <c r="M152" s="66"/>
      <c r="N152" s="67"/>
      <c r="P152" s="68"/>
    </row>
    <row r="153">
      <c r="J153" s="63"/>
      <c r="K153" s="64"/>
      <c r="L153" s="65"/>
      <c r="M153" s="66"/>
      <c r="N153" s="67"/>
      <c r="P153" s="68"/>
    </row>
    <row r="154">
      <c r="J154" s="63"/>
      <c r="K154" s="64"/>
      <c r="L154" s="65"/>
      <c r="M154" s="66"/>
      <c r="N154" s="67"/>
      <c r="P154" s="68"/>
    </row>
    <row r="155">
      <c r="J155" s="63"/>
      <c r="K155" s="64"/>
      <c r="L155" s="65"/>
      <c r="M155" s="66"/>
      <c r="N155" s="67"/>
      <c r="P155" s="68"/>
    </row>
    <row r="156">
      <c r="J156" s="63"/>
      <c r="K156" s="64"/>
      <c r="L156" s="65"/>
      <c r="M156" s="66"/>
      <c r="N156" s="67"/>
      <c r="P156" s="68"/>
    </row>
    <row r="157">
      <c r="J157" s="63"/>
      <c r="K157" s="64"/>
      <c r="L157" s="65"/>
      <c r="M157" s="66"/>
      <c r="N157" s="67"/>
      <c r="P157" s="68"/>
    </row>
    <row r="158">
      <c r="J158" s="63"/>
      <c r="K158" s="64"/>
      <c r="L158" s="65"/>
      <c r="M158" s="66"/>
      <c r="N158" s="67"/>
      <c r="P158" s="68"/>
    </row>
    <row r="159">
      <c r="J159" s="63"/>
      <c r="K159" s="64"/>
      <c r="L159" s="65"/>
      <c r="M159" s="66"/>
      <c r="N159" s="67"/>
      <c r="P159" s="68"/>
    </row>
    <row r="160">
      <c r="J160" s="63"/>
      <c r="K160" s="64"/>
      <c r="L160" s="65"/>
      <c r="M160" s="66"/>
      <c r="N160" s="67"/>
      <c r="P160" s="68"/>
    </row>
    <row r="161">
      <c r="J161" s="63"/>
      <c r="K161" s="64"/>
      <c r="L161" s="65"/>
      <c r="M161" s="66"/>
      <c r="N161" s="67"/>
      <c r="P161" s="68"/>
    </row>
    <row r="162">
      <c r="J162" s="63"/>
      <c r="K162" s="64"/>
      <c r="L162" s="65"/>
      <c r="M162" s="66"/>
      <c r="N162" s="67"/>
      <c r="P162" s="68"/>
    </row>
    <row r="163">
      <c r="J163" s="63"/>
      <c r="K163" s="64"/>
      <c r="L163" s="65"/>
      <c r="M163" s="66"/>
      <c r="N163" s="67"/>
      <c r="P163" s="68"/>
    </row>
    <row r="164">
      <c r="J164" s="63"/>
      <c r="K164" s="64"/>
      <c r="L164" s="65"/>
      <c r="M164" s="66"/>
      <c r="N164" s="67"/>
      <c r="P164" s="68"/>
    </row>
    <row r="165">
      <c r="J165" s="63"/>
      <c r="K165" s="64"/>
      <c r="L165" s="65"/>
      <c r="M165" s="66"/>
      <c r="N165" s="67"/>
      <c r="P165" s="68"/>
    </row>
    <row r="166">
      <c r="J166" s="63"/>
      <c r="K166" s="64"/>
      <c r="L166" s="65"/>
      <c r="M166" s="66"/>
      <c r="N166" s="67"/>
      <c r="P166" s="68"/>
    </row>
    <row r="167">
      <c r="J167" s="63"/>
      <c r="K167" s="64"/>
      <c r="L167" s="65"/>
      <c r="M167" s="66"/>
      <c r="N167" s="67"/>
      <c r="P167" s="68"/>
    </row>
    <row r="168">
      <c r="J168" s="63"/>
      <c r="K168" s="64"/>
      <c r="L168" s="65"/>
      <c r="M168" s="66"/>
      <c r="N168" s="67"/>
      <c r="P168" s="68"/>
    </row>
    <row r="169">
      <c r="J169" s="63"/>
      <c r="K169" s="64"/>
      <c r="L169" s="65"/>
      <c r="M169" s="66"/>
      <c r="N169" s="67"/>
      <c r="P169" s="68"/>
    </row>
    <row r="170">
      <c r="J170" s="63"/>
      <c r="K170" s="64"/>
      <c r="L170" s="65"/>
      <c r="M170" s="66"/>
      <c r="N170" s="67"/>
      <c r="P170" s="68"/>
    </row>
    <row r="171">
      <c r="J171" s="63"/>
      <c r="K171" s="64"/>
      <c r="L171" s="65"/>
      <c r="M171" s="66"/>
      <c r="N171" s="67"/>
      <c r="P171" s="68"/>
    </row>
    <row r="172">
      <c r="J172" s="63"/>
      <c r="K172" s="64"/>
      <c r="L172" s="65"/>
      <c r="M172" s="66"/>
      <c r="N172" s="67"/>
      <c r="P172" s="68"/>
    </row>
    <row r="173">
      <c r="J173" s="63"/>
      <c r="K173" s="64"/>
      <c r="L173" s="65"/>
      <c r="M173" s="66"/>
      <c r="N173" s="67"/>
      <c r="P173" s="68"/>
    </row>
    <row r="174">
      <c r="J174" s="63"/>
      <c r="K174" s="64"/>
      <c r="L174" s="65"/>
      <c r="M174" s="66"/>
      <c r="N174" s="67"/>
      <c r="P174" s="68"/>
    </row>
    <row r="175">
      <c r="J175" s="63"/>
      <c r="K175" s="64"/>
      <c r="L175" s="65"/>
      <c r="M175" s="66"/>
      <c r="N175" s="67"/>
      <c r="P175" s="68"/>
    </row>
    <row r="176">
      <c r="J176" s="63"/>
      <c r="K176" s="64"/>
      <c r="L176" s="65"/>
      <c r="M176" s="66"/>
      <c r="N176" s="67"/>
      <c r="P176" s="68"/>
    </row>
    <row r="177">
      <c r="J177" s="63"/>
      <c r="K177" s="64"/>
      <c r="L177" s="65"/>
      <c r="M177" s="66"/>
      <c r="N177" s="67"/>
      <c r="P177" s="68"/>
    </row>
    <row r="178">
      <c r="J178" s="63"/>
      <c r="K178" s="64"/>
      <c r="L178" s="65"/>
      <c r="M178" s="66"/>
      <c r="N178" s="67"/>
      <c r="P178" s="68"/>
    </row>
    <row r="179">
      <c r="J179" s="63"/>
      <c r="K179" s="64"/>
      <c r="L179" s="65"/>
      <c r="M179" s="66"/>
      <c r="N179" s="67"/>
      <c r="P179" s="68"/>
    </row>
    <row r="180">
      <c r="J180" s="63"/>
      <c r="K180" s="64"/>
      <c r="L180" s="65"/>
      <c r="M180" s="66"/>
      <c r="N180" s="67"/>
      <c r="P180" s="68"/>
    </row>
    <row r="181">
      <c r="J181" s="63"/>
      <c r="K181" s="64"/>
      <c r="L181" s="65"/>
      <c r="M181" s="66"/>
      <c r="N181" s="67"/>
      <c r="P181" s="68"/>
    </row>
    <row r="182">
      <c r="J182" s="63"/>
      <c r="K182" s="64"/>
      <c r="L182" s="65"/>
      <c r="M182" s="66"/>
      <c r="N182" s="67"/>
      <c r="P182" s="68"/>
    </row>
    <row r="183">
      <c r="J183" s="63"/>
      <c r="K183" s="64"/>
      <c r="L183" s="65"/>
      <c r="M183" s="66"/>
      <c r="N183" s="67"/>
      <c r="P183" s="68"/>
    </row>
    <row r="184">
      <c r="J184" s="63"/>
      <c r="K184" s="64"/>
      <c r="L184" s="65"/>
      <c r="M184" s="66"/>
      <c r="N184" s="67"/>
      <c r="P184" s="68"/>
    </row>
    <row r="185">
      <c r="J185" s="63"/>
      <c r="K185" s="64"/>
      <c r="L185" s="65"/>
      <c r="M185" s="66"/>
      <c r="N185" s="67"/>
      <c r="P185" s="68"/>
    </row>
    <row r="186">
      <c r="J186" s="63"/>
      <c r="K186" s="64"/>
      <c r="L186" s="65"/>
      <c r="M186" s="66"/>
      <c r="N186" s="67"/>
      <c r="P186" s="68"/>
    </row>
    <row r="187">
      <c r="J187" s="63"/>
      <c r="K187" s="64"/>
      <c r="L187" s="65"/>
      <c r="M187" s="66"/>
      <c r="N187" s="67"/>
      <c r="P187" s="68"/>
    </row>
    <row r="188">
      <c r="J188" s="63"/>
      <c r="K188" s="64"/>
      <c r="L188" s="65"/>
      <c r="M188" s="66"/>
      <c r="N188" s="67"/>
      <c r="P188" s="68"/>
    </row>
    <row r="189">
      <c r="J189" s="63"/>
      <c r="K189" s="64"/>
      <c r="L189" s="65"/>
      <c r="M189" s="66"/>
      <c r="N189" s="67"/>
      <c r="P189" s="68"/>
    </row>
    <row r="190">
      <c r="J190" s="63"/>
      <c r="K190" s="64"/>
      <c r="L190" s="65"/>
      <c r="M190" s="66"/>
      <c r="N190" s="67"/>
      <c r="P190" s="68"/>
    </row>
    <row r="191">
      <c r="J191" s="63"/>
      <c r="K191" s="64"/>
      <c r="L191" s="65"/>
      <c r="M191" s="66"/>
      <c r="N191" s="67"/>
      <c r="P191" s="68"/>
    </row>
    <row r="192">
      <c r="J192" s="63"/>
      <c r="K192" s="64"/>
      <c r="L192" s="65"/>
      <c r="M192" s="66"/>
      <c r="N192" s="67"/>
      <c r="P192" s="68"/>
    </row>
    <row r="193">
      <c r="J193" s="63"/>
      <c r="K193" s="64"/>
      <c r="L193" s="65"/>
      <c r="M193" s="66"/>
      <c r="N193" s="67"/>
      <c r="P193" s="68"/>
    </row>
    <row r="194">
      <c r="J194" s="63"/>
      <c r="K194" s="64"/>
      <c r="L194" s="65"/>
      <c r="M194" s="66"/>
      <c r="N194" s="67"/>
      <c r="P194" s="68"/>
    </row>
    <row r="195">
      <c r="J195" s="63"/>
      <c r="K195" s="64"/>
      <c r="L195" s="65"/>
      <c r="M195" s="66"/>
      <c r="N195" s="67"/>
      <c r="P195" s="68"/>
    </row>
    <row r="196">
      <c r="J196" s="63"/>
      <c r="K196" s="64"/>
      <c r="L196" s="65"/>
      <c r="M196" s="66"/>
      <c r="N196" s="67"/>
      <c r="P196" s="68"/>
    </row>
    <row r="197">
      <c r="J197" s="63"/>
      <c r="K197" s="64"/>
      <c r="L197" s="65"/>
      <c r="M197" s="66"/>
      <c r="N197" s="67"/>
      <c r="P197" s="68"/>
    </row>
    <row r="198">
      <c r="J198" s="63"/>
      <c r="K198" s="64"/>
      <c r="L198" s="65"/>
      <c r="M198" s="66"/>
      <c r="N198" s="67"/>
      <c r="P198" s="68"/>
    </row>
    <row r="199">
      <c r="J199" s="63"/>
      <c r="K199" s="64"/>
      <c r="L199" s="65"/>
      <c r="M199" s="66"/>
      <c r="N199" s="67"/>
      <c r="P199" s="68"/>
    </row>
    <row r="200">
      <c r="J200" s="63"/>
      <c r="K200" s="64"/>
      <c r="L200" s="65"/>
      <c r="M200" s="66"/>
      <c r="N200" s="67"/>
      <c r="P200" s="68"/>
    </row>
    <row r="201">
      <c r="J201" s="63"/>
      <c r="K201" s="64"/>
      <c r="L201" s="65"/>
      <c r="M201" s="66"/>
      <c r="N201" s="67"/>
      <c r="P201" s="68"/>
    </row>
    <row r="202">
      <c r="J202" s="63"/>
      <c r="K202" s="64"/>
      <c r="L202" s="65"/>
      <c r="M202" s="66"/>
      <c r="N202" s="67"/>
      <c r="P202" s="68"/>
    </row>
    <row r="203">
      <c r="J203" s="63"/>
      <c r="K203" s="64"/>
      <c r="L203" s="65"/>
      <c r="M203" s="66"/>
      <c r="N203" s="67"/>
      <c r="P203" s="68"/>
    </row>
    <row r="204">
      <c r="J204" s="63"/>
      <c r="K204" s="64"/>
      <c r="L204" s="65"/>
      <c r="M204" s="66"/>
      <c r="N204" s="67"/>
      <c r="P204" s="68"/>
    </row>
    <row r="205">
      <c r="J205" s="63"/>
      <c r="K205" s="64"/>
      <c r="L205" s="65"/>
      <c r="M205" s="66"/>
      <c r="N205" s="67"/>
      <c r="P205" s="68"/>
    </row>
    <row r="206">
      <c r="J206" s="63"/>
      <c r="K206" s="64"/>
      <c r="L206" s="65"/>
      <c r="M206" s="66"/>
      <c r="N206" s="67"/>
      <c r="P206" s="68"/>
    </row>
    <row r="207">
      <c r="J207" s="63"/>
      <c r="K207" s="64"/>
      <c r="L207" s="65"/>
      <c r="M207" s="66"/>
      <c r="N207" s="67"/>
      <c r="P207" s="68"/>
    </row>
    <row r="208">
      <c r="J208" s="63"/>
      <c r="K208" s="64"/>
      <c r="L208" s="65"/>
      <c r="M208" s="66"/>
      <c r="N208" s="67"/>
      <c r="P208" s="68"/>
    </row>
    <row r="209">
      <c r="J209" s="63"/>
      <c r="K209" s="64"/>
      <c r="L209" s="65"/>
      <c r="M209" s="66"/>
      <c r="N209" s="67"/>
      <c r="P209" s="68"/>
    </row>
    <row r="210">
      <c r="J210" s="63"/>
      <c r="K210" s="64"/>
      <c r="L210" s="65"/>
      <c r="M210" s="66"/>
      <c r="N210" s="67"/>
      <c r="P210" s="68"/>
    </row>
    <row r="211">
      <c r="J211" s="63"/>
      <c r="K211" s="64"/>
      <c r="L211" s="65"/>
      <c r="M211" s="66"/>
      <c r="N211" s="67"/>
      <c r="P211" s="68"/>
    </row>
    <row r="212">
      <c r="J212" s="63"/>
      <c r="K212" s="64"/>
      <c r="L212" s="65"/>
      <c r="M212" s="66"/>
      <c r="N212" s="67"/>
      <c r="P212" s="68"/>
    </row>
    <row r="213">
      <c r="J213" s="63"/>
      <c r="K213" s="64"/>
      <c r="L213" s="65"/>
      <c r="M213" s="66"/>
      <c r="N213" s="67"/>
      <c r="P213" s="68"/>
    </row>
    <row r="214">
      <c r="J214" s="63"/>
      <c r="K214" s="64"/>
      <c r="L214" s="65"/>
      <c r="M214" s="66"/>
      <c r="N214" s="67"/>
      <c r="P214" s="68"/>
    </row>
    <row r="215">
      <c r="J215" s="63"/>
      <c r="K215" s="64"/>
      <c r="L215" s="65"/>
      <c r="M215" s="66"/>
      <c r="N215" s="67"/>
      <c r="P215" s="68"/>
    </row>
    <row r="216">
      <c r="J216" s="63"/>
      <c r="K216" s="64"/>
      <c r="L216" s="65"/>
      <c r="M216" s="66"/>
      <c r="N216" s="67"/>
      <c r="P216" s="68"/>
    </row>
    <row r="217">
      <c r="J217" s="63"/>
      <c r="K217" s="64"/>
      <c r="L217" s="65"/>
      <c r="M217" s="66"/>
      <c r="N217" s="67"/>
      <c r="P217" s="68"/>
    </row>
    <row r="218">
      <c r="J218" s="63"/>
      <c r="K218" s="64"/>
      <c r="L218" s="65"/>
      <c r="M218" s="66"/>
      <c r="N218" s="67"/>
      <c r="P218" s="68"/>
    </row>
    <row r="219">
      <c r="J219" s="63"/>
      <c r="K219" s="64"/>
      <c r="L219" s="65"/>
      <c r="M219" s="66"/>
      <c r="N219" s="67"/>
      <c r="P219" s="68"/>
    </row>
    <row r="220">
      <c r="J220" s="63"/>
      <c r="K220" s="64"/>
      <c r="L220" s="65"/>
      <c r="M220" s="66"/>
      <c r="N220" s="67"/>
      <c r="P220" s="68"/>
    </row>
    <row r="221">
      <c r="J221" s="63"/>
      <c r="K221" s="64"/>
      <c r="L221" s="65"/>
      <c r="M221" s="66"/>
      <c r="N221" s="67"/>
      <c r="P221" s="68"/>
    </row>
    <row r="222">
      <c r="J222" s="63"/>
      <c r="K222" s="64"/>
      <c r="L222" s="65"/>
      <c r="M222" s="66"/>
      <c r="N222" s="67"/>
      <c r="P222" s="68"/>
    </row>
    <row r="223">
      <c r="J223" s="63"/>
      <c r="K223" s="64"/>
      <c r="L223" s="65"/>
      <c r="M223" s="66"/>
      <c r="N223" s="67"/>
      <c r="P223" s="68"/>
    </row>
    <row r="224">
      <c r="J224" s="63"/>
      <c r="K224" s="64"/>
      <c r="L224" s="65"/>
      <c r="M224" s="66"/>
      <c r="N224" s="67"/>
      <c r="P224" s="68"/>
    </row>
    <row r="225">
      <c r="J225" s="63"/>
      <c r="K225" s="64"/>
      <c r="L225" s="65"/>
      <c r="M225" s="66"/>
      <c r="N225" s="67"/>
      <c r="P225" s="68"/>
    </row>
    <row r="226">
      <c r="J226" s="63"/>
      <c r="K226" s="64"/>
      <c r="L226" s="65"/>
      <c r="M226" s="66"/>
      <c r="N226" s="67"/>
      <c r="P226" s="68"/>
    </row>
    <row r="227">
      <c r="J227" s="63"/>
      <c r="K227" s="64"/>
      <c r="L227" s="65"/>
      <c r="M227" s="66"/>
      <c r="N227" s="67"/>
      <c r="P227" s="68"/>
    </row>
    <row r="228">
      <c r="J228" s="63"/>
      <c r="K228" s="64"/>
      <c r="L228" s="65"/>
      <c r="M228" s="66"/>
      <c r="N228" s="67"/>
      <c r="P228" s="68"/>
    </row>
    <row r="229">
      <c r="J229" s="63"/>
      <c r="K229" s="64"/>
      <c r="L229" s="65"/>
      <c r="M229" s="66"/>
      <c r="N229" s="67"/>
      <c r="P229" s="68"/>
    </row>
    <row r="230">
      <c r="J230" s="63"/>
      <c r="K230" s="64"/>
      <c r="L230" s="65"/>
      <c r="M230" s="66"/>
      <c r="N230" s="67"/>
      <c r="P230" s="68"/>
    </row>
    <row r="231">
      <c r="J231" s="63"/>
      <c r="K231" s="64"/>
      <c r="L231" s="65"/>
      <c r="M231" s="66"/>
      <c r="N231" s="67"/>
      <c r="P231" s="68"/>
    </row>
    <row r="232">
      <c r="J232" s="63"/>
      <c r="K232" s="64"/>
      <c r="L232" s="65"/>
      <c r="M232" s="66"/>
      <c r="N232" s="67"/>
      <c r="P232" s="68"/>
    </row>
    <row r="233">
      <c r="J233" s="63"/>
      <c r="K233" s="64"/>
      <c r="L233" s="65"/>
      <c r="M233" s="66"/>
      <c r="N233" s="67"/>
      <c r="P233" s="68"/>
    </row>
    <row r="234">
      <c r="J234" s="63"/>
      <c r="K234" s="64"/>
      <c r="L234" s="65"/>
      <c r="M234" s="66"/>
      <c r="N234" s="67"/>
      <c r="P234" s="68"/>
    </row>
    <row r="235">
      <c r="J235" s="63"/>
      <c r="K235" s="64"/>
      <c r="L235" s="65"/>
      <c r="M235" s="66"/>
      <c r="N235" s="67"/>
      <c r="P235" s="68"/>
    </row>
    <row r="236">
      <c r="J236" s="63"/>
      <c r="K236" s="64"/>
      <c r="L236" s="65"/>
      <c r="M236" s="66"/>
      <c r="N236" s="67"/>
      <c r="P236" s="68"/>
    </row>
    <row r="237">
      <c r="J237" s="63"/>
      <c r="K237" s="64"/>
      <c r="L237" s="65"/>
      <c r="M237" s="66"/>
      <c r="N237" s="67"/>
      <c r="P237" s="68"/>
    </row>
    <row r="238">
      <c r="J238" s="63"/>
      <c r="K238" s="64"/>
      <c r="L238" s="65"/>
      <c r="M238" s="66"/>
      <c r="N238" s="67"/>
      <c r="P238" s="68"/>
    </row>
    <row r="239">
      <c r="J239" s="63"/>
      <c r="K239" s="64"/>
      <c r="L239" s="65"/>
      <c r="M239" s="66"/>
      <c r="N239" s="67"/>
      <c r="P239" s="68"/>
    </row>
    <row r="240">
      <c r="J240" s="63"/>
      <c r="K240" s="64"/>
      <c r="L240" s="65"/>
      <c r="M240" s="66"/>
      <c r="N240" s="67"/>
      <c r="P240" s="68"/>
    </row>
    <row r="241">
      <c r="J241" s="63"/>
      <c r="K241" s="64"/>
      <c r="L241" s="65"/>
      <c r="M241" s="66"/>
      <c r="N241" s="67"/>
      <c r="P241" s="68"/>
    </row>
    <row r="242">
      <c r="J242" s="63"/>
      <c r="K242" s="64"/>
      <c r="L242" s="65"/>
      <c r="M242" s="66"/>
      <c r="N242" s="67"/>
      <c r="P242" s="68"/>
    </row>
    <row r="243">
      <c r="J243" s="63"/>
      <c r="K243" s="64"/>
      <c r="L243" s="65"/>
      <c r="M243" s="66"/>
      <c r="N243" s="67"/>
      <c r="P243" s="68"/>
    </row>
    <row r="244">
      <c r="J244" s="63"/>
      <c r="K244" s="64"/>
      <c r="L244" s="65"/>
      <c r="M244" s="66"/>
      <c r="N244" s="67"/>
      <c r="P244" s="68"/>
    </row>
    <row r="245">
      <c r="J245" s="63"/>
      <c r="K245" s="64"/>
      <c r="L245" s="65"/>
      <c r="M245" s="66"/>
      <c r="N245" s="67"/>
      <c r="P245" s="68"/>
    </row>
    <row r="246">
      <c r="J246" s="63"/>
      <c r="K246" s="64"/>
      <c r="L246" s="65"/>
      <c r="M246" s="66"/>
      <c r="N246" s="67"/>
      <c r="P246" s="68"/>
    </row>
    <row r="247">
      <c r="J247" s="63"/>
      <c r="K247" s="64"/>
      <c r="L247" s="65"/>
      <c r="M247" s="66"/>
      <c r="N247" s="67"/>
      <c r="P247" s="68"/>
    </row>
    <row r="248">
      <c r="J248" s="63"/>
      <c r="K248" s="64"/>
      <c r="L248" s="65"/>
      <c r="M248" s="66"/>
      <c r="N248" s="67"/>
      <c r="P248" s="68"/>
    </row>
    <row r="249">
      <c r="J249" s="63"/>
      <c r="K249" s="64"/>
      <c r="L249" s="65"/>
      <c r="M249" s="66"/>
      <c r="N249" s="67"/>
      <c r="P249" s="68"/>
    </row>
    <row r="250">
      <c r="J250" s="63"/>
      <c r="K250" s="64"/>
      <c r="L250" s="65"/>
      <c r="M250" s="66"/>
      <c r="N250" s="67"/>
      <c r="P250" s="68"/>
    </row>
    <row r="251">
      <c r="J251" s="63"/>
      <c r="K251" s="64"/>
      <c r="L251" s="65"/>
      <c r="M251" s="66"/>
      <c r="N251" s="67"/>
      <c r="P251" s="68"/>
    </row>
    <row r="252">
      <c r="J252" s="63"/>
      <c r="K252" s="64"/>
      <c r="L252" s="65"/>
      <c r="M252" s="66"/>
      <c r="N252" s="67"/>
      <c r="P252" s="68"/>
    </row>
    <row r="253">
      <c r="J253" s="63"/>
      <c r="K253" s="64"/>
      <c r="L253" s="65"/>
      <c r="M253" s="66"/>
      <c r="N253" s="67"/>
      <c r="P253" s="68"/>
    </row>
    <row r="254">
      <c r="J254" s="63"/>
      <c r="K254" s="64"/>
      <c r="L254" s="65"/>
      <c r="M254" s="66"/>
      <c r="N254" s="67"/>
      <c r="P254" s="68"/>
    </row>
    <row r="255">
      <c r="J255" s="63"/>
      <c r="K255" s="64"/>
      <c r="L255" s="65"/>
      <c r="M255" s="66"/>
      <c r="N255" s="67"/>
      <c r="P255" s="68"/>
    </row>
    <row r="256">
      <c r="J256" s="63"/>
      <c r="K256" s="64"/>
      <c r="L256" s="65"/>
      <c r="M256" s="66"/>
      <c r="N256" s="67"/>
      <c r="P256" s="68"/>
    </row>
    <row r="257">
      <c r="J257" s="63"/>
      <c r="K257" s="64"/>
      <c r="L257" s="65"/>
      <c r="M257" s="66"/>
      <c r="N257" s="67"/>
      <c r="P257" s="68"/>
    </row>
    <row r="258">
      <c r="J258" s="63"/>
      <c r="K258" s="64"/>
      <c r="L258" s="65"/>
      <c r="M258" s="66"/>
      <c r="N258" s="67"/>
      <c r="P258" s="68"/>
    </row>
    <row r="259">
      <c r="J259" s="63"/>
      <c r="K259" s="64"/>
      <c r="L259" s="65"/>
      <c r="M259" s="66"/>
      <c r="N259" s="67"/>
      <c r="P259" s="68"/>
    </row>
    <row r="260">
      <c r="J260" s="63"/>
      <c r="K260" s="64"/>
      <c r="L260" s="65"/>
      <c r="M260" s="66"/>
      <c r="N260" s="67"/>
      <c r="P260" s="68"/>
    </row>
    <row r="261">
      <c r="J261" s="63"/>
      <c r="K261" s="64"/>
      <c r="L261" s="65"/>
      <c r="M261" s="66"/>
      <c r="N261" s="67"/>
      <c r="P261" s="68"/>
    </row>
    <row r="262">
      <c r="J262" s="63"/>
      <c r="K262" s="64"/>
      <c r="L262" s="65"/>
      <c r="M262" s="66"/>
      <c r="N262" s="67"/>
      <c r="P262" s="68"/>
    </row>
    <row r="263">
      <c r="J263" s="63"/>
      <c r="K263" s="64"/>
      <c r="L263" s="65"/>
      <c r="M263" s="66"/>
      <c r="N263" s="67"/>
      <c r="P263" s="68"/>
    </row>
    <row r="264">
      <c r="J264" s="63"/>
      <c r="K264" s="64"/>
      <c r="L264" s="65"/>
      <c r="M264" s="66"/>
      <c r="N264" s="67"/>
      <c r="P264" s="68"/>
    </row>
    <row r="265">
      <c r="J265" s="63"/>
      <c r="K265" s="64"/>
      <c r="L265" s="65"/>
      <c r="M265" s="66"/>
      <c r="N265" s="67"/>
      <c r="P265" s="68"/>
    </row>
    <row r="266">
      <c r="J266" s="63"/>
      <c r="K266" s="64"/>
      <c r="L266" s="65"/>
      <c r="M266" s="66"/>
      <c r="N266" s="67"/>
      <c r="P266" s="68"/>
    </row>
    <row r="267">
      <c r="J267" s="63"/>
      <c r="K267" s="64"/>
      <c r="L267" s="65"/>
      <c r="M267" s="66"/>
      <c r="N267" s="67"/>
      <c r="P267" s="68"/>
    </row>
    <row r="268">
      <c r="J268" s="63"/>
      <c r="K268" s="64"/>
      <c r="L268" s="65"/>
      <c r="M268" s="66"/>
      <c r="N268" s="67"/>
      <c r="P268" s="68"/>
    </row>
    <row r="269">
      <c r="J269" s="63"/>
      <c r="K269" s="64"/>
      <c r="L269" s="65"/>
      <c r="M269" s="66"/>
      <c r="N269" s="67"/>
      <c r="P269" s="68"/>
    </row>
    <row r="270">
      <c r="J270" s="63"/>
      <c r="K270" s="64"/>
      <c r="L270" s="65"/>
      <c r="M270" s="66"/>
      <c r="N270" s="67"/>
      <c r="P270" s="68"/>
    </row>
    <row r="271">
      <c r="J271" s="63"/>
      <c r="K271" s="64"/>
      <c r="L271" s="65"/>
      <c r="M271" s="66"/>
      <c r="N271" s="67"/>
      <c r="P271" s="68"/>
    </row>
    <row r="272">
      <c r="J272" s="63"/>
      <c r="K272" s="64"/>
      <c r="L272" s="65"/>
      <c r="M272" s="66"/>
      <c r="N272" s="67"/>
      <c r="P272" s="68"/>
    </row>
    <row r="273">
      <c r="J273" s="63"/>
      <c r="K273" s="64"/>
      <c r="L273" s="65"/>
      <c r="M273" s="66"/>
      <c r="N273" s="67"/>
      <c r="P273" s="68"/>
    </row>
    <row r="274">
      <c r="J274" s="63"/>
      <c r="K274" s="64"/>
      <c r="L274" s="65"/>
      <c r="M274" s="66"/>
      <c r="N274" s="67"/>
      <c r="P274" s="68"/>
    </row>
    <row r="275">
      <c r="J275" s="63"/>
      <c r="K275" s="64"/>
      <c r="L275" s="65"/>
      <c r="M275" s="66"/>
      <c r="N275" s="67"/>
      <c r="P275" s="68"/>
    </row>
    <row r="276">
      <c r="J276" s="63"/>
      <c r="K276" s="64"/>
      <c r="L276" s="65"/>
      <c r="M276" s="66"/>
      <c r="N276" s="67"/>
      <c r="P276" s="68"/>
    </row>
    <row r="277">
      <c r="J277" s="63"/>
      <c r="K277" s="64"/>
      <c r="L277" s="65"/>
      <c r="M277" s="66"/>
      <c r="N277" s="67"/>
      <c r="P277" s="68"/>
    </row>
    <row r="278">
      <c r="J278" s="63"/>
      <c r="K278" s="64"/>
      <c r="L278" s="65"/>
      <c r="M278" s="66"/>
      <c r="N278" s="67"/>
      <c r="P278" s="68"/>
    </row>
    <row r="279">
      <c r="J279" s="63"/>
      <c r="K279" s="64"/>
      <c r="L279" s="65"/>
      <c r="M279" s="66"/>
      <c r="N279" s="67"/>
      <c r="P279" s="68"/>
    </row>
    <row r="280">
      <c r="J280" s="63"/>
      <c r="K280" s="64"/>
      <c r="L280" s="65"/>
      <c r="M280" s="66"/>
      <c r="N280" s="67"/>
      <c r="P280" s="68"/>
    </row>
    <row r="281">
      <c r="J281" s="63"/>
      <c r="K281" s="64"/>
      <c r="L281" s="65"/>
      <c r="M281" s="66"/>
      <c r="N281" s="67"/>
      <c r="P281" s="68"/>
    </row>
    <row r="282">
      <c r="J282" s="63"/>
      <c r="K282" s="64"/>
      <c r="L282" s="65"/>
      <c r="M282" s="66"/>
      <c r="N282" s="67"/>
      <c r="P282" s="68"/>
    </row>
    <row r="283">
      <c r="J283" s="63"/>
      <c r="K283" s="64"/>
      <c r="L283" s="65"/>
      <c r="M283" s="66"/>
      <c r="N283" s="67"/>
      <c r="P283" s="68"/>
    </row>
    <row r="284">
      <c r="J284" s="63"/>
      <c r="K284" s="64"/>
      <c r="L284" s="65"/>
      <c r="M284" s="66"/>
      <c r="N284" s="67"/>
      <c r="P284" s="68"/>
    </row>
    <row r="285">
      <c r="J285" s="63"/>
      <c r="K285" s="64"/>
      <c r="L285" s="65"/>
      <c r="M285" s="66"/>
      <c r="N285" s="67"/>
      <c r="P285" s="68"/>
    </row>
    <row r="286">
      <c r="J286" s="63"/>
      <c r="K286" s="64"/>
      <c r="L286" s="65"/>
      <c r="M286" s="66"/>
      <c r="N286" s="67"/>
      <c r="P286" s="68"/>
    </row>
    <row r="287">
      <c r="J287" s="63"/>
      <c r="K287" s="64"/>
      <c r="L287" s="65"/>
      <c r="M287" s="66"/>
      <c r="N287" s="67"/>
      <c r="P287" s="68"/>
    </row>
    <row r="288">
      <c r="J288" s="63"/>
      <c r="K288" s="64"/>
      <c r="L288" s="65"/>
      <c r="M288" s="66"/>
      <c r="N288" s="67"/>
      <c r="P288" s="68"/>
    </row>
    <row r="289">
      <c r="J289" s="63"/>
      <c r="K289" s="64"/>
      <c r="L289" s="65"/>
      <c r="M289" s="66"/>
      <c r="N289" s="67"/>
      <c r="P289" s="68"/>
    </row>
    <row r="290">
      <c r="J290" s="63"/>
      <c r="K290" s="64"/>
      <c r="L290" s="65"/>
      <c r="M290" s="66"/>
      <c r="N290" s="67"/>
      <c r="P290" s="68"/>
    </row>
    <row r="291">
      <c r="J291" s="63"/>
      <c r="K291" s="64"/>
      <c r="L291" s="65"/>
      <c r="M291" s="66"/>
      <c r="N291" s="67"/>
      <c r="P291" s="68"/>
    </row>
    <row r="292">
      <c r="J292" s="63"/>
      <c r="K292" s="64"/>
      <c r="L292" s="65"/>
      <c r="M292" s="66"/>
      <c r="N292" s="67"/>
      <c r="P292" s="68"/>
    </row>
    <row r="293">
      <c r="J293" s="63"/>
      <c r="K293" s="64"/>
      <c r="L293" s="65"/>
      <c r="M293" s="66"/>
      <c r="N293" s="67"/>
      <c r="P293" s="68"/>
    </row>
    <row r="294">
      <c r="J294" s="63"/>
      <c r="K294" s="64"/>
      <c r="L294" s="65"/>
      <c r="M294" s="66"/>
      <c r="N294" s="67"/>
      <c r="P294" s="68"/>
    </row>
    <row r="295">
      <c r="J295" s="63"/>
      <c r="K295" s="64"/>
      <c r="L295" s="65"/>
      <c r="M295" s="66"/>
      <c r="N295" s="67"/>
      <c r="P295" s="68"/>
    </row>
    <row r="296">
      <c r="J296" s="63"/>
      <c r="K296" s="64"/>
      <c r="L296" s="65"/>
      <c r="M296" s="66"/>
      <c r="N296" s="67"/>
      <c r="P296" s="68"/>
    </row>
    <row r="297">
      <c r="J297" s="63"/>
      <c r="K297" s="64"/>
      <c r="L297" s="65"/>
      <c r="M297" s="66"/>
      <c r="N297" s="67"/>
      <c r="P297" s="68"/>
    </row>
    <row r="298">
      <c r="J298" s="63"/>
      <c r="K298" s="64"/>
      <c r="L298" s="65"/>
      <c r="M298" s="66"/>
      <c r="N298" s="67"/>
      <c r="P298" s="68"/>
    </row>
    <row r="299">
      <c r="J299" s="63"/>
      <c r="K299" s="64"/>
      <c r="L299" s="65"/>
      <c r="M299" s="66"/>
      <c r="N299" s="67"/>
      <c r="P299" s="68"/>
    </row>
    <row r="300">
      <c r="J300" s="63"/>
      <c r="K300" s="64"/>
      <c r="L300" s="65"/>
      <c r="M300" s="66"/>
      <c r="N300" s="67"/>
      <c r="P300" s="68"/>
    </row>
    <row r="301">
      <c r="J301" s="63"/>
      <c r="K301" s="64"/>
      <c r="L301" s="65"/>
      <c r="M301" s="66"/>
      <c r="N301" s="67"/>
      <c r="P301" s="68"/>
    </row>
    <row r="302">
      <c r="J302" s="63"/>
      <c r="K302" s="64"/>
      <c r="L302" s="65"/>
      <c r="M302" s="66"/>
      <c r="N302" s="67"/>
      <c r="P302" s="68"/>
    </row>
    <row r="303">
      <c r="J303" s="63"/>
      <c r="K303" s="64"/>
      <c r="L303" s="65"/>
      <c r="M303" s="66"/>
      <c r="N303" s="67"/>
      <c r="P303" s="68"/>
    </row>
    <row r="304">
      <c r="J304" s="63"/>
      <c r="K304" s="64"/>
      <c r="L304" s="65"/>
      <c r="M304" s="66"/>
      <c r="N304" s="67"/>
      <c r="P304" s="68"/>
    </row>
    <row r="305">
      <c r="J305" s="63"/>
      <c r="K305" s="64"/>
      <c r="L305" s="65"/>
      <c r="M305" s="66"/>
      <c r="N305" s="67"/>
      <c r="P305" s="68"/>
    </row>
    <row r="306">
      <c r="J306" s="63"/>
      <c r="K306" s="64"/>
      <c r="L306" s="65"/>
      <c r="M306" s="66"/>
      <c r="N306" s="67"/>
      <c r="P306" s="68"/>
    </row>
    <row r="307">
      <c r="J307" s="63"/>
      <c r="K307" s="64"/>
      <c r="L307" s="65"/>
      <c r="M307" s="66"/>
      <c r="N307" s="67"/>
      <c r="P307" s="68"/>
    </row>
    <row r="308">
      <c r="J308" s="63"/>
      <c r="K308" s="64"/>
      <c r="L308" s="65"/>
      <c r="M308" s="66"/>
      <c r="N308" s="67"/>
      <c r="P308" s="68"/>
    </row>
    <row r="309">
      <c r="J309" s="63"/>
      <c r="K309" s="64"/>
      <c r="L309" s="65"/>
      <c r="M309" s="66"/>
      <c r="N309" s="67"/>
      <c r="P309" s="68"/>
    </row>
    <row r="310">
      <c r="J310" s="63"/>
      <c r="K310" s="64"/>
      <c r="L310" s="65"/>
      <c r="M310" s="66"/>
      <c r="N310" s="67"/>
      <c r="P310" s="68"/>
    </row>
    <row r="311">
      <c r="J311" s="63"/>
      <c r="K311" s="64"/>
      <c r="L311" s="65"/>
      <c r="M311" s="66"/>
      <c r="N311" s="67"/>
      <c r="P311" s="68"/>
    </row>
    <row r="312">
      <c r="J312" s="63"/>
      <c r="K312" s="64"/>
      <c r="L312" s="65"/>
      <c r="M312" s="66"/>
      <c r="N312" s="67"/>
      <c r="P312" s="68"/>
    </row>
    <row r="313">
      <c r="J313" s="63"/>
      <c r="K313" s="64"/>
      <c r="L313" s="65"/>
      <c r="M313" s="66"/>
      <c r="N313" s="67"/>
      <c r="P313" s="68"/>
    </row>
    <row r="314">
      <c r="J314" s="63"/>
      <c r="K314" s="64"/>
      <c r="L314" s="65"/>
      <c r="M314" s="66"/>
      <c r="N314" s="67"/>
      <c r="P314" s="68"/>
    </row>
    <row r="315">
      <c r="J315" s="63"/>
      <c r="K315" s="64"/>
      <c r="L315" s="65"/>
      <c r="M315" s="66"/>
      <c r="N315" s="67"/>
      <c r="P315" s="68"/>
    </row>
    <row r="316">
      <c r="J316" s="63"/>
      <c r="K316" s="64"/>
      <c r="L316" s="65"/>
      <c r="M316" s="66"/>
      <c r="N316" s="67"/>
      <c r="P316" s="68"/>
    </row>
    <row r="317">
      <c r="J317" s="63"/>
      <c r="K317" s="64"/>
      <c r="L317" s="65"/>
      <c r="M317" s="66"/>
      <c r="N317" s="67"/>
      <c r="P317" s="68"/>
    </row>
    <row r="318">
      <c r="J318" s="63"/>
      <c r="K318" s="64"/>
      <c r="L318" s="65"/>
      <c r="M318" s="66"/>
      <c r="N318" s="67"/>
      <c r="P318" s="68"/>
    </row>
    <row r="319">
      <c r="J319" s="63"/>
      <c r="K319" s="64"/>
      <c r="L319" s="65"/>
      <c r="M319" s="66"/>
      <c r="N319" s="67"/>
      <c r="P319" s="68"/>
    </row>
    <row r="320">
      <c r="J320" s="63"/>
      <c r="K320" s="64"/>
      <c r="L320" s="65"/>
      <c r="M320" s="66"/>
      <c r="N320" s="67"/>
      <c r="P320" s="68"/>
    </row>
    <row r="321">
      <c r="J321" s="63"/>
      <c r="K321" s="64"/>
      <c r="L321" s="65"/>
      <c r="M321" s="66"/>
      <c r="N321" s="67"/>
      <c r="P321" s="68"/>
    </row>
    <row r="322">
      <c r="J322" s="63"/>
      <c r="K322" s="64"/>
      <c r="L322" s="65"/>
      <c r="M322" s="66"/>
      <c r="N322" s="67"/>
      <c r="P322" s="68"/>
    </row>
    <row r="323">
      <c r="J323" s="63"/>
      <c r="K323" s="64"/>
      <c r="L323" s="65"/>
      <c r="M323" s="66"/>
      <c r="N323" s="67"/>
      <c r="P323" s="68"/>
    </row>
    <row r="324">
      <c r="J324" s="63"/>
      <c r="K324" s="64"/>
      <c r="L324" s="65"/>
      <c r="M324" s="66"/>
      <c r="N324" s="67"/>
      <c r="P324" s="68"/>
    </row>
    <row r="325">
      <c r="J325" s="63"/>
      <c r="K325" s="64"/>
      <c r="L325" s="65"/>
      <c r="M325" s="66"/>
      <c r="N325" s="67"/>
      <c r="P325" s="68"/>
    </row>
    <row r="326">
      <c r="J326" s="63"/>
      <c r="K326" s="64"/>
      <c r="L326" s="65"/>
      <c r="M326" s="66"/>
      <c r="N326" s="67"/>
      <c r="P326" s="68"/>
    </row>
    <row r="327">
      <c r="J327" s="63"/>
      <c r="K327" s="64"/>
      <c r="L327" s="65"/>
      <c r="M327" s="66"/>
      <c r="N327" s="67"/>
      <c r="P327" s="68"/>
    </row>
    <row r="328">
      <c r="J328" s="63"/>
      <c r="K328" s="64"/>
      <c r="L328" s="65"/>
      <c r="M328" s="66"/>
      <c r="N328" s="67"/>
      <c r="P328" s="68"/>
    </row>
    <row r="329">
      <c r="J329" s="63"/>
      <c r="K329" s="64"/>
      <c r="L329" s="65"/>
      <c r="M329" s="66"/>
      <c r="N329" s="67"/>
      <c r="P329" s="68"/>
    </row>
    <row r="330">
      <c r="J330" s="63"/>
      <c r="K330" s="64"/>
      <c r="L330" s="65"/>
      <c r="M330" s="66"/>
      <c r="N330" s="67"/>
      <c r="P330" s="68"/>
    </row>
    <row r="331">
      <c r="J331" s="63"/>
      <c r="K331" s="64"/>
      <c r="L331" s="65"/>
      <c r="M331" s="66"/>
      <c r="N331" s="67"/>
      <c r="P331" s="68"/>
    </row>
    <row r="332">
      <c r="J332" s="63"/>
      <c r="K332" s="64"/>
      <c r="L332" s="65"/>
      <c r="M332" s="66"/>
      <c r="N332" s="67"/>
      <c r="P332" s="68"/>
    </row>
    <row r="333">
      <c r="J333" s="63"/>
      <c r="K333" s="64"/>
      <c r="L333" s="65"/>
      <c r="M333" s="66"/>
      <c r="N333" s="67"/>
      <c r="P333" s="68"/>
    </row>
    <row r="334">
      <c r="J334" s="63"/>
      <c r="K334" s="64"/>
      <c r="L334" s="65"/>
      <c r="M334" s="66"/>
      <c r="N334" s="67"/>
      <c r="P334" s="68"/>
    </row>
    <row r="335">
      <c r="J335" s="63"/>
      <c r="K335" s="64"/>
      <c r="L335" s="65"/>
      <c r="M335" s="66"/>
      <c r="N335" s="67"/>
      <c r="P335" s="68"/>
    </row>
    <row r="336">
      <c r="J336" s="63"/>
      <c r="K336" s="64"/>
      <c r="L336" s="65"/>
      <c r="M336" s="66"/>
      <c r="N336" s="67"/>
      <c r="P336" s="68"/>
    </row>
    <row r="337">
      <c r="J337" s="63"/>
      <c r="K337" s="64"/>
      <c r="L337" s="65"/>
      <c r="M337" s="66"/>
      <c r="N337" s="67"/>
      <c r="P337" s="68"/>
    </row>
    <row r="338">
      <c r="J338" s="63"/>
      <c r="K338" s="64"/>
      <c r="L338" s="65"/>
      <c r="M338" s="66"/>
      <c r="N338" s="67"/>
      <c r="P338" s="68"/>
    </row>
    <row r="339">
      <c r="J339" s="63"/>
      <c r="K339" s="64"/>
      <c r="L339" s="65"/>
      <c r="M339" s="66"/>
      <c r="N339" s="67"/>
      <c r="P339" s="68"/>
    </row>
    <row r="340">
      <c r="J340" s="63"/>
      <c r="K340" s="64"/>
      <c r="L340" s="65"/>
      <c r="M340" s="66"/>
      <c r="N340" s="67"/>
      <c r="P340" s="68"/>
    </row>
    <row r="341">
      <c r="J341" s="63"/>
      <c r="K341" s="64"/>
      <c r="L341" s="65"/>
      <c r="M341" s="66"/>
      <c r="N341" s="67"/>
      <c r="P341" s="68"/>
    </row>
    <row r="342">
      <c r="J342" s="63"/>
      <c r="K342" s="64"/>
      <c r="L342" s="65"/>
      <c r="M342" s="66"/>
      <c r="N342" s="67"/>
      <c r="P342" s="68"/>
    </row>
    <row r="343">
      <c r="J343" s="63"/>
      <c r="K343" s="64"/>
      <c r="L343" s="65"/>
      <c r="M343" s="66"/>
      <c r="N343" s="67"/>
      <c r="P343" s="68"/>
    </row>
    <row r="344">
      <c r="J344" s="63"/>
      <c r="K344" s="64"/>
      <c r="L344" s="65"/>
      <c r="M344" s="66"/>
      <c r="N344" s="67"/>
      <c r="P344" s="68"/>
    </row>
    <row r="345">
      <c r="J345" s="63"/>
      <c r="K345" s="64"/>
      <c r="L345" s="65"/>
      <c r="M345" s="66"/>
      <c r="N345" s="67"/>
      <c r="P345" s="68"/>
    </row>
    <row r="346">
      <c r="J346" s="63"/>
      <c r="K346" s="64"/>
      <c r="L346" s="65"/>
      <c r="M346" s="66"/>
      <c r="N346" s="67"/>
      <c r="P346" s="68"/>
    </row>
    <row r="347">
      <c r="J347" s="63"/>
      <c r="K347" s="64"/>
      <c r="L347" s="65"/>
      <c r="M347" s="66"/>
      <c r="N347" s="67"/>
      <c r="P347" s="68"/>
    </row>
    <row r="348">
      <c r="J348" s="63"/>
      <c r="K348" s="64"/>
      <c r="L348" s="65"/>
      <c r="M348" s="66"/>
      <c r="N348" s="67"/>
      <c r="P348" s="68"/>
    </row>
    <row r="349">
      <c r="J349" s="63"/>
      <c r="K349" s="64"/>
      <c r="L349" s="65"/>
      <c r="M349" s="66"/>
      <c r="N349" s="67"/>
      <c r="P349" s="68"/>
    </row>
    <row r="350">
      <c r="J350" s="63"/>
      <c r="K350" s="64"/>
      <c r="L350" s="65"/>
      <c r="M350" s="66"/>
      <c r="N350" s="67"/>
      <c r="P350" s="68"/>
    </row>
    <row r="351">
      <c r="J351" s="63"/>
      <c r="K351" s="64"/>
      <c r="L351" s="65"/>
      <c r="M351" s="66"/>
      <c r="N351" s="67"/>
      <c r="P351" s="68"/>
    </row>
    <row r="352">
      <c r="J352" s="63"/>
      <c r="K352" s="64"/>
      <c r="L352" s="65"/>
      <c r="M352" s="66"/>
      <c r="N352" s="67"/>
      <c r="P352" s="68"/>
    </row>
    <row r="353">
      <c r="J353" s="63"/>
      <c r="K353" s="64"/>
      <c r="L353" s="65"/>
      <c r="M353" s="66"/>
      <c r="N353" s="67"/>
      <c r="P353" s="68"/>
    </row>
    <row r="354">
      <c r="J354" s="63"/>
      <c r="K354" s="64"/>
      <c r="L354" s="65"/>
      <c r="M354" s="66"/>
      <c r="N354" s="67"/>
      <c r="P354" s="68"/>
    </row>
    <row r="355">
      <c r="J355" s="63"/>
      <c r="K355" s="64"/>
      <c r="L355" s="65"/>
      <c r="M355" s="66"/>
      <c r="N355" s="67"/>
      <c r="P355" s="68"/>
    </row>
    <row r="356">
      <c r="J356" s="63"/>
      <c r="K356" s="64"/>
      <c r="L356" s="65"/>
      <c r="M356" s="66"/>
      <c r="N356" s="67"/>
      <c r="P356" s="68"/>
    </row>
    <row r="357">
      <c r="J357" s="63"/>
      <c r="K357" s="64"/>
      <c r="L357" s="65"/>
      <c r="M357" s="66"/>
      <c r="N357" s="67"/>
      <c r="P357" s="68"/>
    </row>
    <row r="358">
      <c r="J358" s="63"/>
      <c r="K358" s="64"/>
      <c r="L358" s="65"/>
      <c r="M358" s="66"/>
      <c r="N358" s="67"/>
      <c r="P358" s="68"/>
    </row>
    <row r="359">
      <c r="J359" s="63"/>
      <c r="K359" s="64"/>
      <c r="L359" s="65"/>
      <c r="M359" s="66"/>
      <c r="N359" s="67"/>
      <c r="P359" s="68"/>
    </row>
    <row r="360">
      <c r="J360" s="63"/>
      <c r="K360" s="64"/>
      <c r="L360" s="65"/>
      <c r="M360" s="66"/>
      <c r="N360" s="67"/>
      <c r="P360" s="68"/>
    </row>
    <row r="361">
      <c r="J361" s="63"/>
      <c r="K361" s="64"/>
      <c r="L361" s="65"/>
      <c r="M361" s="66"/>
      <c r="N361" s="67"/>
      <c r="P361" s="68"/>
    </row>
    <row r="362">
      <c r="J362" s="63"/>
      <c r="K362" s="64"/>
      <c r="L362" s="65"/>
      <c r="M362" s="66"/>
      <c r="N362" s="67"/>
      <c r="P362" s="68"/>
    </row>
    <row r="363">
      <c r="J363" s="63"/>
      <c r="K363" s="64"/>
      <c r="L363" s="65"/>
      <c r="M363" s="66"/>
      <c r="N363" s="67"/>
      <c r="P363" s="68"/>
    </row>
    <row r="364">
      <c r="J364" s="63"/>
      <c r="K364" s="64"/>
      <c r="L364" s="65"/>
      <c r="M364" s="66"/>
      <c r="N364" s="67"/>
      <c r="P364" s="68"/>
    </row>
    <row r="365">
      <c r="J365" s="63"/>
      <c r="K365" s="64"/>
      <c r="L365" s="65"/>
      <c r="M365" s="66"/>
      <c r="N365" s="67"/>
      <c r="P365" s="68"/>
    </row>
    <row r="366">
      <c r="J366" s="63"/>
      <c r="K366" s="64"/>
      <c r="L366" s="65"/>
      <c r="M366" s="66"/>
      <c r="N366" s="67"/>
      <c r="P366" s="68"/>
    </row>
    <row r="367">
      <c r="J367" s="63"/>
      <c r="K367" s="64"/>
      <c r="L367" s="65"/>
      <c r="M367" s="66"/>
      <c r="N367" s="67"/>
      <c r="P367" s="68"/>
    </row>
    <row r="368">
      <c r="J368" s="63"/>
      <c r="K368" s="64"/>
      <c r="L368" s="65"/>
      <c r="M368" s="66"/>
      <c r="N368" s="67"/>
      <c r="P368" s="68"/>
    </row>
    <row r="369">
      <c r="J369" s="63"/>
      <c r="K369" s="64"/>
      <c r="L369" s="65"/>
      <c r="M369" s="66"/>
      <c r="N369" s="67"/>
      <c r="P369" s="68"/>
    </row>
    <row r="370">
      <c r="J370" s="63"/>
      <c r="K370" s="64"/>
      <c r="L370" s="65"/>
      <c r="M370" s="66"/>
      <c r="N370" s="67"/>
      <c r="P370" s="68"/>
    </row>
    <row r="371">
      <c r="J371" s="63"/>
      <c r="K371" s="64"/>
      <c r="L371" s="65"/>
      <c r="M371" s="66"/>
      <c r="N371" s="67"/>
      <c r="P371" s="68"/>
    </row>
    <row r="372">
      <c r="J372" s="63"/>
      <c r="K372" s="64"/>
      <c r="L372" s="65"/>
      <c r="M372" s="66"/>
      <c r="N372" s="67"/>
      <c r="P372" s="68"/>
    </row>
    <row r="373">
      <c r="J373" s="63"/>
      <c r="K373" s="64"/>
      <c r="L373" s="65"/>
      <c r="M373" s="66"/>
      <c r="N373" s="67"/>
      <c r="P373" s="68"/>
    </row>
    <row r="374">
      <c r="J374" s="63"/>
      <c r="K374" s="64"/>
      <c r="L374" s="65"/>
      <c r="M374" s="66"/>
      <c r="N374" s="67"/>
      <c r="P374" s="68"/>
    </row>
    <row r="375">
      <c r="J375" s="63"/>
      <c r="K375" s="64"/>
      <c r="L375" s="65"/>
      <c r="M375" s="66"/>
      <c r="N375" s="67"/>
      <c r="P375" s="68"/>
    </row>
    <row r="376">
      <c r="J376" s="63"/>
      <c r="K376" s="64"/>
      <c r="L376" s="65"/>
      <c r="M376" s="66"/>
      <c r="N376" s="67"/>
      <c r="P376" s="68"/>
    </row>
    <row r="377">
      <c r="J377" s="63"/>
      <c r="K377" s="64"/>
      <c r="L377" s="65"/>
      <c r="M377" s="66"/>
      <c r="N377" s="67"/>
      <c r="P377" s="68"/>
    </row>
    <row r="378">
      <c r="J378" s="63"/>
      <c r="K378" s="64"/>
      <c r="L378" s="65"/>
      <c r="M378" s="66"/>
      <c r="N378" s="67"/>
      <c r="P378" s="68"/>
    </row>
    <row r="379">
      <c r="J379" s="63"/>
      <c r="K379" s="64"/>
      <c r="L379" s="65"/>
      <c r="M379" s="66"/>
      <c r="N379" s="67"/>
      <c r="P379" s="68"/>
    </row>
    <row r="380">
      <c r="J380" s="63"/>
      <c r="K380" s="64"/>
      <c r="L380" s="65"/>
      <c r="M380" s="66"/>
      <c r="N380" s="67"/>
      <c r="P380" s="68"/>
    </row>
    <row r="381">
      <c r="J381" s="63"/>
      <c r="K381" s="64"/>
      <c r="L381" s="65"/>
      <c r="M381" s="66"/>
      <c r="N381" s="67"/>
      <c r="P381" s="68"/>
    </row>
    <row r="382">
      <c r="J382" s="63"/>
      <c r="K382" s="64"/>
      <c r="L382" s="65"/>
      <c r="M382" s="66"/>
      <c r="N382" s="67"/>
      <c r="P382" s="68"/>
    </row>
    <row r="383">
      <c r="J383" s="63"/>
      <c r="K383" s="64"/>
      <c r="L383" s="65"/>
      <c r="M383" s="66"/>
      <c r="N383" s="67"/>
      <c r="P383" s="68"/>
    </row>
    <row r="384">
      <c r="J384" s="63"/>
      <c r="K384" s="64"/>
      <c r="L384" s="65"/>
      <c r="M384" s="66"/>
      <c r="N384" s="67"/>
      <c r="P384" s="68"/>
    </row>
    <row r="385">
      <c r="J385" s="63"/>
      <c r="K385" s="64"/>
      <c r="L385" s="65"/>
      <c r="M385" s="66"/>
      <c r="N385" s="67"/>
      <c r="P385" s="68"/>
    </row>
    <row r="386">
      <c r="J386" s="63"/>
      <c r="K386" s="64"/>
      <c r="L386" s="65"/>
      <c r="M386" s="66"/>
      <c r="N386" s="67"/>
      <c r="P386" s="68"/>
    </row>
    <row r="387">
      <c r="J387" s="63"/>
      <c r="K387" s="64"/>
      <c r="L387" s="65"/>
      <c r="M387" s="66"/>
      <c r="N387" s="67"/>
      <c r="P387" s="68"/>
    </row>
    <row r="388">
      <c r="J388" s="63"/>
      <c r="K388" s="64"/>
      <c r="L388" s="65"/>
      <c r="M388" s="66"/>
      <c r="N388" s="67"/>
      <c r="P388" s="68"/>
    </row>
    <row r="389">
      <c r="J389" s="63"/>
      <c r="K389" s="64"/>
      <c r="L389" s="65"/>
      <c r="M389" s="66"/>
      <c r="N389" s="67"/>
      <c r="P389" s="68"/>
    </row>
    <row r="390">
      <c r="J390" s="63"/>
      <c r="K390" s="64"/>
      <c r="L390" s="65"/>
      <c r="M390" s="66"/>
      <c r="N390" s="67"/>
      <c r="P390" s="68"/>
    </row>
    <row r="391">
      <c r="J391" s="63"/>
      <c r="K391" s="64"/>
      <c r="L391" s="65"/>
      <c r="M391" s="66"/>
      <c r="N391" s="67"/>
      <c r="P391" s="68"/>
    </row>
    <row r="392">
      <c r="J392" s="63"/>
      <c r="K392" s="64"/>
      <c r="L392" s="65"/>
      <c r="M392" s="66"/>
      <c r="N392" s="67"/>
      <c r="P392" s="68"/>
    </row>
    <row r="393">
      <c r="J393" s="63"/>
      <c r="K393" s="64"/>
      <c r="L393" s="65"/>
      <c r="M393" s="66"/>
      <c r="N393" s="67"/>
      <c r="P393" s="68"/>
    </row>
    <row r="394">
      <c r="J394" s="63"/>
      <c r="K394" s="64"/>
      <c r="L394" s="65"/>
      <c r="M394" s="66"/>
      <c r="N394" s="67"/>
      <c r="P394" s="68"/>
    </row>
    <row r="395">
      <c r="J395" s="63"/>
      <c r="K395" s="64"/>
      <c r="L395" s="65"/>
      <c r="M395" s="66"/>
      <c r="N395" s="67"/>
      <c r="P395" s="68"/>
    </row>
    <row r="396">
      <c r="J396" s="63"/>
      <c r="K396" s="64"/>
      <c r="L396" s="65"/>
      <c r="M396" s="66"/>
      <c r="N396" s="67"/>
      <c r="P396" s="68"/>
    </row>
    <row r="397">
      <c r="J397" s="63"/>
      <c r="K397" s="64"/>
      <c r="L397" s="65"/>
      <c r="M397" s="66"/>
      <c r="N397" s="67"/>
      <c r="P397" s="68"/>
    </row>
    <row r="398">
      <c r="J398" s="63"/>
      <c r="K398" s="64"/>
      <c r="L398" s="65"/>
      <c r="M398" s="66"/>
      <c r="N398" s="67"/>
      <c r="P398" s="68"/>
    </row>
    <row r="399">
      <c r="J399" s="63"/>
      <c r="K399" s="64"/>
      <c r="L399" s="65"/>
      <c r="M399" s="66"/>
      <c r="N399" s="67"/>
      <c r="P399" s="68"/>
    </row>
    <row r="400">
      <c r="J400" s="63"/>
      <c r="K400" s="64"/>
      <c r="L400" s="65"/>
      <c r="M400" s="66"/>
      <c r="N400" s="67"/>
      <c r="P400" s="68"/>
    </row>
    <row r="401">
      <c r="J401" s="63"/>
      <c r="K401" s="64"/>
      <c r="L401" s="65"/>
      <c r="M401" s="66"/>
      <c r="N401" s="67"/>
      <c r="P401" s="68"/>
    </row>
    <row r="402">
      <c r="J402" s="63"/>
      <c r="K402" s="64"/>
      <c r="L402" s="65"/>
      <c r="M402" s="66"/>
      <c r="N402" s="67"/>
      <c r="P402" s="68"/>
    </row>
    <row r="403">
      <c r="J403" s="63"/>
      <c r="K403" s="64"/>
      <c r="L403" s="65"/>
      <c r="M403" s="66"/>
      <c r="N403" s="67"/>
      <c r="P403" s="68"/>
    </row>
    <row r="404">
      <c r="J404" s="63"/>
      <c r="K404" s="64"/>
      <c r="L404" s="65"/>
      <c r="M404" s="66"/>
      <c r="N404" s="67"/>
      <c r="P404" s="68"/>
    </row>
    <row r="405">
      <c r="J405" s="63"/>
      <c r="K405" s="64"/>
      <c r="L405" s="65"/>
      <c r="M405" s="66"/>
      <c r="N405" s="67"/>
      <c r="P405" s="68"/>
    </row>
    <row r="406">
      <c r="J406" s="63"/>
      <c r="K406" s="64"/>
      <c r="L406" s="65"/>
      <c r="M406" s="66"/>
      <c r="N406" s="67"/>
      <c r="P406" s="68"/>
    </row>
    <row r="407">
      <c r="J407" s="63"/>
      <c r="K407" s="64"/>
      <c r="L407" s="65"/>
      <c r="M407" s="66"/>
      <c r="N407" s="67"/>
      <c r="P407" s="68"/>
    </row>
    <row r="408">
      <c r="J408" s="63"/>
      <c r="K408" s="64"/>
      <c r="L408" s="65"/>
      <c r="M408" s="66"/>
      <c r="N408" s="67"/>
      <c r="P408" s="68"/>
    </row>
    <row r="409">
      <c r="J409" s="63"/>
      <c r="K409" s="64"/>
      <c r="L409" s="65"/>
      <c r="M409" s="66"/>
      <c r="N409" s="67"/>
      <c r="P409" s="68"/>
    </row>
    <row r="410">
      <c r="J410" s="63"/>
      <c r="K410" s="64"/>
      <c r="L410" s="65"/>
      <c r="M410" s="66"/>
      <c r="N410" s="67"/>
      <c r="P410" s="68"/>
    </row>
    <row r="411">
      <c r="J411" s="63"/>
      <c r="K411" s="64"/>
      <c r="L411" s="65"/>
      <c r="M411" s="66"/>
      <c r="N411" s="67"/>
      <c r="P411" s="68"/>
    </row>
    <row r="412">
      <c r="J412" s="63"/>
      <c r="K412" s="64"/>
      <c r="L412" s="65"/>
      <c r="M412" s="66"/>
      <c r="N412" s="67"/>
      <c r="P412" s="68"/>
    </row>
    <row r="413">
      <c r="J413" s="63"/>
      <c r="K413" s="64"/>
      <c r="L413" s="65"/>
      <c r="M413" s="66"/>
      <c r="N413" s="67"/>
      <c r="P413" s="68"/>
    </row>
    <row r="414">
      <c r="J414" s="63"/>
      <c r="K414" s="64"/>
      <c r="L414" s="65"/>
      <c r="M414" s="66"/>
      <c r="N414" s="67"/>
      <c r="P414" s="68"/>
    </row>
    <row r="415">
      <c r="J415" s="63"/>
      <c r="K415" s="64"/>
      <c r="L415" s="65"/>
      <c r="M415" s="66"/>
      <c r="N415" s="67"/>
      <c r="P415" s="68"/>
    </row>
    <row r="416">
      <c r="J416" s="63"/>
      <c r="K416" s="64"/>
      <c r="L416" s="65"/>
      <c r="M416" s="66"/>
      <c r="N416" s="67"/>
      <c r="P416" s="68"/>
    </row>
    <row r="417">
      <c r="J417" s="63"/>
      <c r="K417" s="64"/>
      <c r="L417" s="65"/>
      <c r="M417" s="66"/>
      <c r="N417" s="67"/>
      <c r="P417" s="68"/>
    </row>
    <row r="418">
      <c r="J418" s="63"/>
      <c r="K418" s="64"/>
      <c r="L418" s="65"/>
      <c r="M418" s="66"/>
      <c r="N418" s="67"/>
      <c r="P418" s="68"/>
    </row>
    <row r="419">
      <c r="J419" s="63"/>
      <c r="K419" s="64"/>
      <c r="L419" s="65"/>
      <c r="M419" s="66"/>
      <c r="N419" s="67"/>
      <c r="P419" s="68"/>
    </row>
    <row r="420">
      <c r="J420" s="63"/>
      <c r="K420" s="64"/>
      <c r="L420" s="65"/>
      <c r="M420" s="66"/>
      <c r="N420" s="67"/>
      <c r="P420" s="68"/>
    </row>
    <row r="421">
      <c r="J421" s="63"/>
      <c r="K421" s="64"/>
      <c r="L421" s="65"/>
      <c r="M421" s="66"/>
      <c r="N421" s="67"/>
      <c r="P421" s="68"/>
    </row>
    <row r="422">
      <c r="J422" s="63"/>
      <c r="K422" s="64"/>
      <c r="L422" s="65"/>
      <c r="M422" s="66"/>
      <c r="N422" s="67"/>
      <c r="P422" s="68"/>
    </row>
    <row r="423">
      <c r="J423" s="63"/>
      <c r="K423" s="64"/>
      <c r="L423" s="65"/>
      <c r="M423" s="66"/>
      <c r="N423" s="67"/>
      <c r="P423" s="68"/>
    </row>
    <row r="424">
      <c r="J424" s="63"/>
      <c r="K424" s="64"/>
      <c r="L424" s="65"/>
      <c r="M424" s="66"/>
      <c r="N424" s="67"/>
      <c r="P424" s="68"/>
    </row>
    <row r="425">
      <c r="J425" s="63"/>
      <c r="K425" s="64"/>
      <c r="L425" s="65"/>
      <c r="M425" s="66"/>
      <c r="N425" s="67"/>
      <c r="P425" s="68"/>
    </row>
    <row r="426">
      <c r="J426" s="63"/>
      <c r="K426" s="64"/>
      <c r="L426" s="65"/>
      <c r="M426" s="66"/>
      <c r="N426" s="67"/>
      <c r="P426" s="68"/>
    </row>
    <row r="427">
      <c r="J427" s="63"/>
      <c r="K427" s="64"/>
      <c r="L427" s="65"/>
      <c r="M427" s="66"/>
      <c r="N427" s="67"/>
      <c r="P427" s="68"/>
    </row>
    <row r="428">
      <c r="J428" s="63"/>
      <c r="K428" s="64"/>
      <c r="L428" s="65"/>
      <c r="M428" s="66"/>
      <c r="N428" s="67"/>
      <c r="P428" s="68"/>
    </row>
    <row r="429">
      <c r="J429" s="63"/>
      <c r="K429" s="64"/>
      <c r="L429" s="65"/>
      <c r="M429" s="66"/>
      <c r="N429" s="67"/>
      <c r="P429" s="68"/>
    </row>
    <row r="430">
      <c r="J430" s="63"/>
      <c r="K430" s="64"/>
      <c r="L430" s="65"/>
      <c r="M430" s="66"/>
      <c r="N430" s="67"/>
      <c r="P430" s="68"/>
    </row>
    <row r="431">
      <c r="J431" s="63"/>
      <c r="K431" s="64"/>
      <c r="L431" s="65"/>
      <c r="M431" s="66"/>
      <c r="N431" s="67"/>
      <c r="P431" s="68"/>
    </row>
    <row r="432">
      <c r="J432" s="63"/>
      <c r="K432" s="64"/>
      <c r="L432" s="65"/>
      <c r="M432" s="66"/>
      <c r="N432" s="67"/>
      <c r="P432" s="68"/>
    </row>
    <row r="433">
      <c r="J433" s="63"/>
      <c r="K433" s="64"/>
      <c r="L433" s="65"/>
      <c r="M433" s="66"/>
      <c r="N433" s="67"/>
      <c r="P433" s="68"/>
    </row>
    <row r="434">
      <c r="J434" s="63"/>
      <c r="K434" s="64"/>
      <c r="L434" s="65"/>
      <c r="M434" s="66"/>
      <c r="N434" s="67"/>
      <c r="P434" s="68"/>
    </row>
    <row r="435">
      <c r="J435" s="63"/>
      <c r="K435" s="64"/>
      <c r="L435" s="65"/>
      <c r="M435" s="66"/>
      <c r="N435" s="67"/>
      <c r="P435" s="68"/>
    </row>
    <row r="436">
      <c r="J436" s="63"/>
      <c r="K436" s="64"/>
      <c r="L436" s="65"/>
      <c r="M436" s="66"/>
      <c r="N436" s="67"/>
      <c r="P436" s="68"/>
    </row>
    <row r="437">
      <c r="J437" s="63"/>
      <c r="K437" s="64"/>
      <c r="L437" s="65"/>
      <c r="M437" s="66"/>
      <c r="N437" s="67"/>
      <c r="P437" s="68"/>
    </row>
    <row r="438">
      <c r="J438" s="63"/>
      <c r="K438" s="64"/>
      <c r="L438" s="65"/>
      <c r="M438" s="66"/>
      <c r="N438" s="67"/>
      <c r="P438" s="68"/>
    </row>
    <row r="439">
      <c r="J439" s="63"/>
      <c r="K439" s="64"/>
      <c r="L439" s="65"/>
      <c r="M439" s="66"/>
      <c r="N439" s="67"/>
      <c r="P439" s="68"/>
    </row>
    <row r="440">
      <c r="J440" s="63"/>
      <c r="K440" s="64"/>
      <c r="L440" s="65"/>
      <c r="M440" s="66"/>
      <c r="N440" s="67"/>
      <c r="P440" s="68"/>
    </row>
    <row r="441">
      <c r="J441" s="63"/>
      <c r="K441" s="64"/>
      <c r="L441" s="65"/>
      <c r="M441" s="66"/>
      <c r="N441" s="67"/>
      <c r="P441" s="68"/>
    </row>
    <row r="442">
      <c r="J442" s="63"/>
      <c r="K442" s="64"/>
      <c r="L442" s="65"/>
      <c r="M442" s="66"/>
      <c r="N442" s="67"/>
      <c r="P442" s="68"/>
    </row>
    <row r="443">
      <c r="J443" s="63"/>
      <c r="K443" s="64"/>
      <c r="L443" s="65"/>
      <c r="M443" s="66"/>
      <c r="N443" s="67"/>
      <c r="P443" s="68"/>
    </row>
    <row r="444">
      <c r="J444" s="63"/>
      <c r="K444" s="64"/>
      <c r="L444" s="65"/>
      <c r="M444" s="66"/>
      <c r="N444" s="67"/>
      <c r="P444" s="68"/>
    </row>
    <row r="445">
      <c r="J445" s="63"/>
      <c r="K445" s="64"/>
      <c r="L445" s="65"/>
      <c r="M445" s="66"/>
      <c r="N445" s="67"/>
      <c r="P445" s="68"/>
    </row>
    <row r="446">
      <c r="J446" s="63"/>
      <c r="K446" s="64"/>
      <c r="L446" s="65"/>
      <c r="M446" s="66"/>
      <c r="N446" s="67"/>
      <c r="P446" s="68"/>
    </row>
    <row r="447">
      <c r="J447" s="63"/>
      <c r="K447" s="64"/>
      <c r="L447" s="65"/>
      <c r="M447" s="66"/>
      <c r="N447" s="67"/>
      <c r="P447" s="68"/>
    </row>
    <row r="448">
      <c r="J448" s="63"/>
      <c r="K448" s="64"/>
      <c r="L448" s="65"/>
      <c r="M448" s="66"/>
      <c r="N448" s="67"/>
      <c r="P448" s="68"/>
    </row>
    <row r="449">
      <c r="J449" s="63"/>
      <c r="K449" s="64"/>
      <c r="L449" s="65"/>
      <c r="M449" s="66"/>
      <c r="N449" s="67"/>
      <c r="P449" s="68"/>
    </row>
    <row r="450">
      <c r="J450" s="63"/>
      <c r="K450" s="64"/>
      <c r="L450" s="65"/>
      <c r="M450" s="66"/>
      <c r="N450" s="67"/>
      <c r="P450" s="68"/>
    </row>
    <row r="451">
      <c r="J451" s="63"/>
      <c r="K451" s="64"/>
      <c r="L451" s="65"/>
      <c r="M451" s="66"/>
      <c r="N451" s="67"/>
      <c r="P451" s="68"/>
    </row>
    <row r="452">
      <c r="J452" s="63"/>
      <c r="K452" s="64"/>
      <c r="L452" s="65"/>
      <c r="M452" s="66"/>
      <c r="N452" s="67"/>
      <c r="P452" s="68"/>
    </row>
    <row r="453">
      <c r="J453" s="63"/>
      <c r="K453" s="64"/>
      <c r="L453" s="65"/>
      <c r="M453" s="66"/>
      <c r="N453" s="67"/>
      <c r="P453" s="68"/>
    </row>
    <row r="454">
      <c r="J454" s="63"/>
      <c r="K454" s="64"/>
      <c r="L454" s="65"/>
      <c r="M454" s="66"/>
      <c r="N454" s="67"/>
      <c r="P454" s="68"/>
    </row>
    <row r="455">
      <c r="J455" s="63"/>
      <c r="K455" s="64"/>
      <c r="L455" s="65"/>
      <c r="M455" s="66"/>
      <c r="N455" s="67"/>
      <c r="P455" s="68"/>
    </row>
    <row r="456">
      <c r="J456" s="63"/>
      <c r="K456" s="64"/>
      <c r="L456" s="65"/>
      <c r="M456" s="66"/>
      <c r="N456" s="67"/>
      <c r="P456" s="68"/>
    </row>
    <row r="457">
      <c r="J457" s="63"/>
      <c r="K457" s="64"/>
      <c r="L457" s="65"/>
      <c r="M457" s="66"/>
      <c r="N457" s="67"/>
      <c r="P457" s="68"/>
    </row>
    <row r="458">
      <c r="J458" s="63"/>
      <c r="K458" s="64"/>
      <c r="L458" s="65"/>
      <c r="M458" s="66"/>
      <c r="N458" s="67"/>
      <c r="P458" s="68"/>
    </row>
    <row r="459">
      <c r="J459" s="63"/>
      <c r="K459" s="64"/>
      <c r="L459" s="65"/>
      <c r="M459" s="66"/>
      <c r="N459" s="67"/>
      <c r="P459" s="68"/>
    </row>
    <row r="460">
      <c r="J460" s="63"/>
      <c r="K460" s="64"/>
      <c r="L460" s="65"/>
      <c r="M460" s="66"/>
      <c r="N460" s="67"/>
      <c r="P460" s="68"/>
    </row>
    <row r="461">
      <c r="J461" s="63"/>
      <c r="K461" s="64"/>
      <c r="L461" s="65"/>
      <c r="M461" s="66"/>
      <c r="N461" s="67"/>
      <c r="P461" s="68"/>
    </row>
    <row r="462">
      <c r="J462" s="63"/>
      <c r="K462" s="64"/>
      <c r="L462" s="65"/>
      <c r="M462" s="66"/>
      <c r="N462" s="67"/>
      <c r="P462" s="68"/>
    </row>
    <row r="463">
      <c r="J463" s="63"/>
      <c r="K463" s="64"/>
      <c r="L463" s="65"/>
      <c r="M463" s="66"/>
      <c r="N463" s="67"/>
      <c r="P463" s="68"/>
    </row>
    <row r="464">
      <c r="J464" s="63"/>
      <c r="K464" s="64"/>
      <c r="L464" s="65"/>
      <c r="M464" s="66"/>
      <c r="N464" s="67"/>
      <c r="P464" s="68"/>
    </row>
    <row r="465">
      <c r="J465" s="63"/>
      <c r="K465" s="64"/>
      <c r="L465" s="65"/>
      <c r="M465" s="66"/>
      <c r="N465" s="67"/>
      <c r="P465" s="68"/>
    </row>
    <row r="466">
      <c r="J466" s="63"/>
      <c r="K466" s="64"/>
      <c r="L466" s="65"/>
      <c r="M466" s="66"/>
      <c r="N466" s="67"/>
      <c r="P466" s="68"/>
    </row>
    <row r="467">
      <c r="J467" s="63"/>
      <c r="K467" s="64"/>
      <c r="L467" s="65"/>
      <c r="M467" s="66"/>
      <c r="N467" s="67"/>
      <c r="P467" s="68"/>
    </row>
    <row r="468">
      <c r="J468" s="63"/>
      <c r="K468" s="64"/>
      <c r="L468" s="65"/>
      <c r="M468" s="66"/>
      <c r="N468" s="67"/>
      <c r="P468" s="68"/>
    </row>
    <row r="469">
      <c r="J469" s="63"/>
      <c r="K469" s="64"/>
      <c r="L469" s="65"/>
      <c r="M469" s="66"/>
      <c r="N469" s="67"/>
      <c r="P469" s="68"/>
    </row>
    <row r="470">
      <c r="J470" s="63"/>
      <c r="K470" s="64"/>
      <c r="L470" s="65"/>
      <c r="M470" s="66"/>
      <c r="N470" s="67"/>
      <c r="P470" s="68"/>
    </row>
    <row r="471">
      <c r="J471" s="63"/>
      <c r="K471" s="64"/>
      <c r="L471" s="65"/>
      <c r="M471" s="66"/>
      <c r="N471" s="67"/>
      <c r="P471" s="68"/>
    </row>
    <row r="472">
      <c r="J472" s="63"/>
      <c r="K472" s="64"/>
      <c r="L472" s="65"/>
      <c r="M472" s="66"/>
      <c r="N472" s="67"/>
      <c r="P472" s="68"/>
    </row>
    <row r="473">
      <c r="J473" s="63"/>
      <c r="K473" s="64"/>
      <c r="L473" s="65"/>
      <c r="M473" s="66"/>
      <c r="N473" s="67"/>
      <c r="P473" s="68"/>
    </row>
    <row r="474">
      <c r="J474" s="63"/>
      <c r="K474" s="64"/>
      <c r="L474" s="65"/>
      <c r="M474" s="66"/>
      <c r="N474" s="67"/>
      <c r="P474" s="68"/>
    </row>
    <row r="475">
      <c r="J475" s="63"/>
      <c r="K475" s="64"/>
      <c r="L475" s="65"/>
      <c r="M475" s="66"/>
      <c r="N475" s="67"/>
      <c r="P475" s="68"/>
    </row>
    <row r="476">
      <c r="J476" s="63"/>
      <c r="K476" s="64"/>
      <c r="L476" s="65"/>
      <c r="M476" s="66"/>
      <c r="N476" s="67"/>
      <c r="P476" s="68"/>
    </row>
    <row r="477">
      <c r="J477" s="63"/>
      <c r="K477" s="64"/>
      <c r="L477" s="65"/>
      <c r="M477" s="66"/>
      <c r="N477" s="67"/>
      <c r="P477" s="68"/>
    </row>
    <row r="478">
      <c r="J478" s="63"/>
      <c r="K478" s="64"/>
      <c r="L478" s="65"/>
      <c r="M478" s="66"/>
      <c r="N478" s="67"/>
      <c r="P478" s="68"/>
    </row>
    <row r="479">
      <c r="J479" s="63"/>
      <c r="K479" s="64"/>
      <c r="L479" s="65"/>
      <c r="M479" s="66"/>
      <c r="N479" s="67"/>
      <c r="P479" s="68"/>
    </row>
    <row r="480">
      <c r="J480" s="63"/>
      <c r="K480" s="64"/>
      <c r="L480" s="65"/>
      <c r="M480" s="66"/>
      <c r="N480" s="67"/>
      <c r="P480" s="68"/>
    </row>
    <row r="481">
      <c r="J481" s="63"/>
      <c r="K481" s="64"/>
      <c r="L481" s="65"/>
      <c r="M481" s="66"/>
      <c r="N481" s="67"/>
      <c r="P481" s="68"/>
    </row>
    <row r="482">
      <c r="J482" s="63"/>
      <c r="K482" s="64"/>
      <c r="L482" s="65"/>
      <c r="M482" s="66"/>
      <c r="N482" s="67"/>
      <c r="P482" s="68"/>
    </row>
    <row r="483">
      <c r="J483" s="63"/>
      <c r="K483" s="64"/>
      <c r="L483" s="65"/>
      <c r="M483" s="66"/>
      <c r="N483" s="67"/>
      <c r="P483" s="68"/>
    </row>
    <row r="484">
      <c r="J484" s="63"/>
      <c r="K484" s="64"/>
      <c r="L484" s="65"/>
      <c r="M484" s="66"/>
      <c r="N484" s="67"/>
      <c r="P484" s="68"/>
    </row>
    <row r="485">
      <c r="J485" s="63"/>
      <c r="K485" s="64"/>
      <c r="L485" s="65"/>
      <c r="M485" s="66"/>
      <c r="N485" s="67"/>
      <c r="P485" s="68"/>
    </row>
    <row r="486">
      <c r="J486" s="63"/>
      <c r="K486" s="64"/>
      <c r="L486" s="65"/>
      <c r="M486" s="66"/>
      <c r="N486" s="67"/>
      <c r="P486" s="68"/>
    </row>
    <row r="487">
      <c r="J487" s="63"/>
      <c r="K487" s="64"/>
      <c r="L487" s="65"/>
      <c r="M487" s="66"/>
      <c r="N487" s="67"/>
      <c r="P487" s="68"/>
    </row>
    <row r="488">
      <c r="J488" s="63"/>
      <c r="K488" s="64"/>
      <c r="L488" s="65"/>
      <c r="M488" s="66"/>
      <c r="N488" s="67"/>
      <c r="P488" s="68"/>
    </row>
    <row r="489">
      <c r="J489" s="63"/>
      <c r="K489" s="64"/>
      <c r="L489" s="65"/>
      <c r="M489" s="66"/>
      <c r="N489" s="67"/>
      <c r="P489" s="68"/>
    </row>
    <row r="490">
      <c r="J490" s="63"/>
      <c r="K490" s="64"/>
      <c r="L490" s="65"/>
      <c r="M490" s="66"/>
      <c r="N490" s="67"/>
      <c r="P490" s="68"/>
    </row>
    <row r="491">
      <c r="J491" s="63"/>
      <c r="K491" s="64"/>
      <c r="L491" s="65"/>
      <c r="M491" s="66"/>
      <c r="N491" s="67"/>
      <c r="P491" s="68"/>
    </row>
    <row r="492">
      <c r="J492" s="63"/>
      <c r="K492" s="64"/>
      <c r="L492" s="65"/>
      <c r="M492" s="66"/>
      <c r="N492" s="67"/>
      <c r="P492" s="68"/>
    </row>
    <row r="493">
      <c r="J493" s="63"/>
      <c r="K493" s="64"/>
      <c r="L493" s="65"/>
      <c r="M493" s="66"/>
      <c r="N493" s="67"/>
      <c r="P493" s="68"/>
    </row>
    <row r="494">
      <c r="J494" s="63"/>
      <c r="K494" s="64"/>
      <c r="L494" s="65"/>
      <c r="M494" s="66"/>
      <c r="N494" s="67"/>
      <c r="P494" s="68"/>
    </row>
    <row r="495">
      <c r="J495" s="63"/>
      <c r="K495" s="64"/>
      <c r="L495" s="65"/>
      <c r="M495" s="66"/>
      <c r="N495" s="67"/>
      <c r="P495" s="68"/>
    </row>
    <row r="496">
      <c r="J496" s="63"/>
      <c r="K496" s="64"/>
      <c r="L496" s="65"/>
      <c r="M496" s="66"/>
      <c r="N496" s="67"/>
      <c r="P496" s="68"/>
    </row>
    <row r="497">
      <c r="J497" s="63"/>
      <c r="K497" s="64"/>
      <c r="L497" s="65"/>
      <c r="M497" s="66"/>
      <c r="N497" s="67"/>
      <c r="P497" s="68"/>
    </row>
    <row r="498">
      <c r="J498" s="63"/>
      <c r="K498" s="64"/>
      <c r="L498" s="65"/>
      <c r="M498" s="66"/>
      <c r="N498" s="67"/>
      <c r="P498" s="68"/>
    </row>
    <row r="499">
      <c r="J499" s="63"/>
      <c r="K499" s="64"/>
      <c r="L499" s="65"/>
      <c r="M499" s="66"/>
      <c r="N499" s="67"/>
      <c r="P499" s="68"/>
    </row>
    <row r="500">
      <c r="J500" s="63"/>
      <c r="K500" s="64"/>
      <c r="L500" s="65"/>
      <c r="M500" s="66"/>
      <c r="N500" s="67"/>
      <c r="P500" s="68"/>
    </row>
    <row r="501">
      <c r="J501" s="63"/>
      <c r="K501" s="64"/>
      <c r="L501" s="65"/>
      <c r="M501" s="66"/>
      <c r="N501" s="67"/>
      <c r="P501" s="68"/>
    </row>
    <row r="502">
      <c r="J502" s="63"/>
      <c r="K502" s="64"/>
      <c r="L502" s="65"/>
      <c r="M502" s="66"/>
      <c r="N502" s="67"/>
      <c r="P502" s="68"/>
    </row>
    <row r="503">
      <c r="J503" s="63"/>
      <c r="K503" s="64"/>
      <c r="L503" s="65"/>
      <c r="M503" s="66"/>
      <c r="N503" s="67"/>
      <c r="P503" s="68"/>
    </row>
    <row r="504">
      <c r="J504" s="63"/>
      <c r="K504" s="64"/>
      <c r="L504" s="65"/>
      <c r="M504" s="66"/>
      <c r="N504" s="67"/>
      <c r="P504" s="68"/>
    </row>
    <row r="505">
      <c r="J505" s="63"/>
      <c r="K505" s="64"/>
      <c r="L505" s="65"/>
      <c r="M505" s="66"/>
      <c r="N505" s="67"/>
      <c r="P505" s="68"/>
    </row>
    <row r="506">
      <c r="J506" s="63"/>
      <c r="K506" s="64"/>
      <c r="L506" s="65"/>
      <c r="M506" s="66"/>
      <c r="N506" s="67"/>
      <c r="P506" s="68"/>
    </row>
    <row r="507">
      <c r="J507" s="63"/>
      <c r="K507" s="64"/>
      <c r="L507" s="65"/>
      <c r="M507" s="66"/>
      <c r="N507" s="67"/>
      <c r="P507" s="68"/>
    </row>
    <row r="508">
      <c r="J508" s="63"/>
      <c r="K508" s="64"/>
      <c r="L508" s="65"/>
      <c r="M508" s="66"/>
      <c r="N508" s="67"/>
      <c r="P508" s="68"/>
    </row>
    <row r="509">
      <c r="J509" s="63"/>
      <c r="K509" s="64"/>
      <c r="L509" s="65"/>
      <c r="M509" s="66"/>
      <c r="N509" s="67"/>
      <c r="P509" s="68"/>
    </row>
    <row r="510">
      <c r="J510" s="63"/>
      <c r="K510" s="64"/>
      <c r="L510" s="65"/>
      <c r="M510" s="66"/>
      <c r="N510" s="67"/>
      <c r="P510" s="68"/>
    </row>
    <row r="511">
      <c r="J511" s="63"/>
      <c r="K511" s="64"/>
      <c r="L511" s="65"/>
      <c r="M511" s="66"/>
      <c r="N511" s="67"/>
      <c r="P511" s="68"/>
    </row>
    <row r="512">
      <c r="J512" s="63"/>
      <c r="K512" s="64"/>
      <c r="L512" s="65"/>
      <c r="M512" s="66"/>
      <c r="N512" s="67"/>
      <c r="P512" s="68"/>
    </row>
    <row r="513">
      <c r="J513" s="63"/>
      <c r="K513" s="64"/>
      <c r="L513" s="65"/>
      <c r="M513" s="66"/>
      <c r="N513" s="67"/>
      <c r="P513" s="68"/>
    </row>
    <row r="514">
      <c r="J514" s="63"/>
      <c r="K514" s="64"/>
      <c r="L514" s="65"/>
      <c r="M514" s="66"/>
      <c r="N514" s="67"/>
      <c r="P514" s="68"/>
    </row>
    <row r="515">
      <c r="J515" s="63"/>
      <c r="K515" s="64"/>
      <c r="L515" s="65"/>
      <c r="M515" s="66"/>
      <c r="N515" s="67"/>
      <c r="P515" s="68"/>
    </row>
    <row r="516">
      <c r="J516" s="63"/>
      <c r="K516" s="64"/>
      <c r="L516" s="65"/>
      <c r="M516" s="66"/>
      <c r="N516" s="67"/>
      <c r="P516" s="68"/>
    </row>
    <row r="517">
      <c r="J517" s="63"/>
      <c r="K517" s="64"/>
      <c r="L517" s="65"/>
      <c r="M517" s="66"/>
      <c r="N517" s="67"/>
      <c r="P517" s="68"/>
    </row>
    <row r="518">
      <c r="J518" s="63"/>
      <c r="K518" s="64"/>
      <c r="L518" s="65"/>
      <c r="M518" s="66"/>
      <c r="N518" s="67"/>
      <c r="P518" s="68"/>
    </row>
    <row r="519">
      <c r="J519" s="63"/>
      <c r="K519" s="64"/>
      <c r="L519" s="65"/>
      <c r="M519" s="66"/>
      <c r="N519" s="67"/>
      <c r="P519" s="68"/>
    </row>
    <row r="520">
      <c r="J520" s="63"/>
      <c r="K520" s="64"/>
      <c r="L520" s="65"/>
      <c r="M520" s="66"/>
      <c r="N520" s="67"/>
      <c r="P520" s="68"/>
    </row>
    <row r="521">
      <c r="J521" s="63"/>
      <c r="K521" s="64"/>
      <c r="L521" s="65"/>
      <c r="M521" s="66"/>
      <c r="N521" s="67"/>
      <c r="P521" s="68"/>
    </row>
    <row r="522">
      <c r="J522" s="63"/>
      <c r="K522" s="64"/>
      <c r="L522" s="65"/>
      <c r="M522" s="66"/>
      <c r="N522" s="67"/>
      <c r="P522" s="68"/>
    </row>
    <row r="523">
      <c r="J523" s="63"/>
      <c r="K523" s="64"/>
      <c r="L523" s="65"/>
      <c r="M523" s="66"/>
      <c r="N523" s="67"/>
      <c r="P523" s="68"/>
    </row>
    <row r="524">
      <c r="J524" s="63"/>
      <c r="K524" s="64"/>
      <c r="L524" s="65"/>
      <c r="M524" s="66"/>
      <c r="N524" s="67"/>
      <c r="P524" s="68"/>
    </row>
    <row r="525">
      <c r="J525" s="63"/>
      <c r="K525" s="64"/>
      <c r="L525" s="65"/>
      <c r="M525" s="66"/>
      <c r="N525" s="67"/>
      <c r="P525" s="68"/>
    </row>
    <row r="526">
      <c r="J526" s="63"/>
      <c r="K526" s="64"/>
      <c r="L526" s="65"/>
      <c r="M526" s="66"/>
      <c r="N526" s="67"/>
      <c r="P526" s="68"/>
    </row>
    <row r="527">
      <c r="J527" s="63"/>
      <c r="K527" s="64"/>
      <c r="L527" s="65"/>
      <c r="M527" s="66"/>
      <c r="N527" s="67"/>
      <c r="P527" s="68"/>
    </row>
    <row r="528">
      <c r="J528" s="63"/>
      <c r="K528" s="64"/>
      <c r="L528" s="65"/>
      <c r="M528" s="66"/>
      <c r="N528" s="67"/>
      <c r="P528" s="68"/>
    </row>
    <row r="529">
      <c r="J529" s="63"/>
      <c r="K529" s="64"/>
      <c r="L529" s="65"/>
      <c r="M529" s="66"/>
      <c r="N529" s="67"/>
      <c r="P529" s="68"/>
    </row>
    <row r="530">
      <c r="J530" s="63"/>
      <c r="K530" s="64"/>
      <c r="L530" s="65"/>
      <c r="M530" s="66"/>
      <c r="N530" s="67"/>
      <c r="P530" s="68"/>
    </row>
    <row r="531">
      <c r="J531" s="63"/>
      <c r="K531" s="64"/>
      <c r="L531" s="65"/>
      <c r="M531" s="66"/>
      <c r="N531" s="67"/>
      <c r="P531" s="68"/>
    </row>
    <row r="532">
      <c r="J532" s="63"/>
      <c r="K532" s="64"/>
      <c r="L532" s="65"/>
      <c r="M532" s="66"/>
      <c r="N532" s="67"/>
      <c r="P532" s="68"/>
    </row>
    <row r="533">
      <c r="J533" s="63"/>
      <c r="K533" s="64"/>
      <c r="L533" s="65"/>
      <c r="M533" s="66"/>
      <c r="N533" s="67"/>
      <c r="P533" s="68"/>
    </row>
    <row r="534">
      <c r="J534" s="63"/>
      <c r="K534" s="64"/>
      <c r="L534" s="65"/>
      <c r="M534" s="66"/>
      <c r="N534" s="67"/>
      <c r="P534" s="68"/>
    </row>
    <row r="535">
      <c r="J535" s="63"/>
      <c r="K535" s="64"/>
      <c r="L535" s="65"/>
      <c r="M535" s="66"/>
      <c r="N535" s="67"/>
      <c r="P535" s="68"/>
    </row>
    <row r="536">
      <c r="J536" s="63"/>
      <c r="K536" s="64"/>
      <c r="L536" s="65"/>
      <c r="M536" s="66"/>
      <c r="N536" s="67"/>
      <c r="P536" s="68"/>
    </row>
    <row r="537">
      <c r="J537" s="63"/>
      <c r="K537" s="64"/>
      <c r="L537" s="65"/>
      <c r="M537" s="66"/>
      <c r="N537" s="67"/>
      <c r="P537" s="68"/>
    </row>
    <row r="538">
      <c r="J538" s="63"/>
      <c r="K538" s="64"/>
      <c r="L538" s="65"/>
      <c r="M538" s="66"/>
      <c r="N538" s="67"/>
      <c r="P538" s="68"/>
    </row>
    <row r="539">
      <c r="J539" s="63"/>
      <c r="K539" s="64"/>
      <c r="L539" s="65"/>
      <c r="M539" s="66"/>
      <c r="N539" s="67"/>
      <c r="P539" s="68"/>
    </row>
    <row r="540">
      <c r="J540" s="63"/>
      <c r="K540" s="64"/>
      <c r="L540" s="65"/>
      <c r="M540" s="66"/>
      <c r="N540" s="67"/>
      <c r="P540" s="68"/>
    </row>
    <row r="541">
      <c r="J541" s="63"/>
      <c r="K541" s="64"/>
      <c r="L541" s="65"/>
      <c r="M541" s="66"/>
      <c r="N541" s="67"/>
      <c r="P541" s="68"/>
    </row>
    <row r="542">
      <c r="J542" s="63"/>
      <c r="K542" s="64"/>
      <c r="L542" s="65"/>
      <c r="M542" s="66"/>
      <c r="N542" s="67"/>
      <c r="P542" s="68"/>
    </row>
    <row r="543">
      <c r="J543" s="63"/>
      <c r="K543" s="64"/>
      <c r="L543" s="65"/>
      <c r="M543" s="66"/>
      <c r="N543" s="67"/>
      <c r="P543" s="68"/>
    </row>
    <row r="544">
      <c r="J544" s="63"/>
      <c r="K544" s="64"/>
      <c r="L544" s="65"/>
      <c r="M544" s="66"/>
      <c r="N544" s="67"/>
      <c r="P544" s="68"/>
    </row>
    <row r="545">
      <c r="J545" s="63"/>
      <c r="K545" s="64"/>
      <c r="L545" s="65"/>
      <c r="M545" s="66"/>
      <c r="N545" s="67"/>
      <c r="P545" s="68"/>
    </row>
    <row r="546">
      <c r="J546" s="63"/>
      <c r="K546" s="64"/>
      <c r="L546" s="65"/>
      <c r="M546" s="66"/>
      <c r="N546" s="67"/>
      <c r="P546" s="68"/>
    </row>
    <row r="547">
      <c r="J547" s="63"/>
      <c r="K547" s="64"/>
      <c r="L547" s="65"/>
      <c r="M547" s="66"/>
      <c r="N547" s="67"/>
      <c r="P547" s="68"/>
    </row>
    <row r="548">
      <c r="J548" s="63"/>
      <c r="K548" s="64"/>
      <c r="L548" s="65"/>
      <c r="M548" s="66"/>
      <c r="N548" s="67"/>
      <c r="P548" s="68"/>
    </row>
    <row r="549">
      <c r="J549" s="63"/>
      <c r="K549" s="64"/>
      <c r="L549" s="65"/>
      <c r="M549" s="66"/>
      <c r="N549" s="67"/>
      <c r="P549" s="68"/>
    </row>
    <row r="550">
      <c r="J550" s="63"/>
      <c r="K550" s="64"/>
      <c r="L550" s="65"/>
      <c r="M550" s="66"/>
      <c r="N550" s="67"/>
      <c r="P550" s="68"/>
    </row>
    <row r="551">
      <c r="J551" s="63"/>
      <c r="K551" s="64"/>
      <c r="L551" s="65"/>
      <c r="M551" s="66"/>
      <c r="N551" s="67"/>
      <c r="P551" s="68"/>
    </row>
    <row r="552">
      <c r="J552" s="63"/>
      <c r="K552" s="64"/>
      <c r="L552" s="65"/>
      <c r="M552" s="66"/>
      <c r="N552" s="67"/>
      <c r="P552" s="68"/>
    </row>
    <row r="553">
      <c r="J553" s="63"/>
      <c r="K553" s="64"/>
      <c r="L553" s="65"/>
      <c r="M553" s="66"/>
      <c r="N553" s="67"/>
      <c r="P553" s="68"/>
    </row>
    <row r="554">
      <c r="J554" s="63"/>
      <c r="K554" s="64"/>
      <c r="L554" s="65"/>
      <c r="M554" s="66"/>
      <c r="N554" s="67"/>
      <c r="P554" s="68"/>
    </row>
    <row r="555">
      <c r="J555" s="63"/>
      <c r="K555" s="64"/>
      <c r="L555" s="65"/>
      <c r="M555" s="66"/>
      <c r="N555" s="67"/>
      <c r="P555" s="68"/>
    </row>
    <row r="556">
      <c r="J556" s="63"/>
      <c r="K556" s="64"/>
      <c r="L556" s="65"/>
      <c r="M556" s="66"/>
      <c r="N556" s="67"/>
      <c r="P556" s="68"/>
    </row>
    <row r="557">
      <c r="J557" s="63"/>
      <c r="K557" s="64"/>
      <c r="L557" s="65"/>
      <c r="M557" s="66"/>
      <c r="N557" s="67"/>
      <c r="P557" s="68"/>
    </row>
    <row r="558">
      <c r="J558" s="63"/>
      <c r="K558" s="64"/>
      <c r="L558" s="65"/>
      <c r="M558" s="66"/>
      <c r="N558" s="67"/>
      <c r="P558" s="68"/>
    </row>
    <row r="559">
      <c r="J559" s="63"/>
      <c r="K559" s="64"/>
      <c r="L559" s="65"/>
      <c r="M559" s="66"/>
      <c r="N559" s="67"/>
      <c r="P559" s="68"/>
    </row>
    <row r="560">
      <c r="J560" s="63"/>
      <c r="K560" s="64"/>
      <c r="L560" s="65"/>
      <c r="M560" s="66"/>
      <c r="N560" s="67"/>
      <c r="P560" s="68"/>
    </row>
    <row r="561">
      <c r="J561" s="63"/>
      <c r="K561" s="64"/>
      <c r="L561" s="65"/>
      <c r="M561" s="66"/>
      <c r="N561" s="67"/>
      <c r="P561" s="68"/>
    </row>
    <row r="562">
      <c r="J562" s="63"/>
      <c r="K562" s="64"/>
      <c r="L562" s="65"/>
      <c r="M562" s="66"/>
      <c r="N562" s="67"/>
      <c r="P562" s="68"/>
    </row>
    <row r="563">
      <c r="J563" s="63"/>
      <c r="K563" s="64"/>
      <c r="L563" s="65"/>
      <c r="M563" s="66"/>
      <c r="N563" s="67"/>
      <c r="P563" s="68"/>
    </row>
    <row r="564">
      <c r="J564" s="63"/>
      <c r="K564" s="64"/>
      <c r="L564" s="65"/>
      <c r="M564" s="66"/>
      <c r="N564" s="67"/>
      <c r="P564" s="68"/>
    </row>
    <row r="565">
      <c r="J565" s="63"/>
      <c r="K565" s="64"/>
      <c r="L565" s="65"/>
      <c r="M565" s="66"/>
      <c r="N565" s="67"/>
      <c r="P565" s="68"/>
    </row>
    <row r="566">
      <c r="J566" s="63"/>
      <c r="K566" s="64"/>
      <c r="L566" s="65"/>
      <c r="M566" s="66"/>
      <c r="N566" s="67"/>
      <c r="P566" s="68"/>
    </row>
    <row r="567">
      <c r="J567" s="63"/>
      <c r="K567" s="64"/>
      <c r="L567" s="65"/>
      <c r="M567" s="66"/>
      <c r="N567" s="67"/>
      <c r="P567" s="68"/>
    </row>
    <row r="568">
      <c r="J568" s="63"/>
      <c r="K568" s="64"/>
      <c r="L568" s="65"/>
      <c r="M568" s="66"/>
      <c r="N568" s="67"/>
      <c r="P568" s="68"/>
    </row>
    <row r="569">
      <c r="J569" s="63"/>
      <c r="K569" s="64"/>
      <c r="L569" s="65"/>
      <c r="M569" s="66"/>
      <c r="N569" s="67"/>
      <c r="P569" s="68"/>
    </row>
    <row r="570">
      <c r="J570" s="63"/>
      <c r="K570" s="64"/>
      <c r="L570" s="65"/>
      <c r="M570" s="66"/>
      <c r="N570" s="67"/>
      <c r="P570" s="68"/>
    </row>
    <row r="571">
      <c r="J571" s="63"/>
      <c r="K571" s="64"/>
      <c r="L571" s="65"/>
      <c r="M571" s="66"/>
      <c r="N571" s="67"/>
      <c r="P571" s="68"/>
    </row>
    <row r="572">
      <c r="J572" s="63"/>
      <c r="K572" s="64"/>
      <c r="L572" s="65"/>
      <c r="M572" s="66"/>
      <c r="N572" s="67"/>
      <c r="P572" s="68"/>
    </row>
    <row r="573">
      <c r="J573" s="63"/>
      <c r="K573" s="64"/>
      <c r="L573" s="65"/>
      <c r="M573" s="66"/>
      <c r="N573" s="67"/>
      <c r="P573" s="68"/>
    </row>
    <row r="574">
      <c r="J574" s="63"/>
      <c r="K574" s="64"/>
      <c r="L574" s="65"/>
      <c r="M574" s="66"/>
      <c r="N574" s="67"/>
      <c r="P574" s="68"/>
    </row>
    <row r="575">
      <c r="J575" s="63"/>
      <c r="K575" s="64"/>
      <c r="L575" s="65"/>
      <c r="M575" s="66"/>
      <c r="N575" s="67"/>
      <c r="P575" s="68"/>
    </row>
    <row r="576">
      <c r="J576" s="63"/>
      <c r="K576" s="64"/>
      <c r="L576" s="65"/>
      <c r="M576" s="66"/>
      <c r="N576" s="67"/>
      <c r="P576" s="68"/>
    </row>
    <row r="577">
      <c r="J577" s="63"/>
      <c r="K577" s="64"/>
      <c r="L577" s="65"/>
      <c r="M577" s="66"/>
      <c r="N577" s="67"/>
      <c r="P577" s="68"/>
    </row>
    <row r="578">
      <c r="J578" s="63"/>
      <c r="K578" s="64"/>
      <c r="L578" s="65"/>
      <c r="M578" s="66"/>
      <c r="N578" s="67"/>
      <c r="P578" s="68"/>
    </row>
    <row r="579">
      <c r="J579" s="63"/>
      <c r="K579" s="64"/>
      <c r="L579" s="65"/>
      <c r="M579" s="66"/>
      <c r="N579" s="67"/>
      <c r="P579" s="68"/>
    </row>
    <row r="580">
      <c r="J580" s="63"/>
      <c r="K580" s="64"/>
      <c r="L580" s="65"/>
      <c r="M580" s="66"/>
      <c r="N580" s="67"/>
      <c r="P580" s="68"/>
    </row>
    <row r="581">
      <c r="J581" s="63"/>
      <c r="K581" s="64"/>
      <c r="L581" s="65"/>
      <c r="M581" s="66"/>
      <c r="N581" s="67"/>
      <c r="P581" s="68"/>
    </row>
    <row r="582">
      <c r="J582" s="63"/>
      <c r="K582" s="64"/>
      <c r="L582" s="65"/>
      <c r="M582" s="66"/>
      <c r="N582" s="67"/>
      <c r="P582" s="68"/>
    </row>
    <row r="583">
      <c r="J583" s="63"/>
      <c r="K583" s="64"/>
      <c r="L583" s="65"/>
      <c r="M583" s="66"/>
      <c r="N583" s="67"/>
      <c r="P583" s="68"/>
    </row>
    <row r="584">
      <c r="J584" s="63"/>
      <c r="K584" s="64"/>
      <c r="L584" s="65"/>
      <c r="M584" s="66"/>
      <c r="N584" s="67"/>
      <c r="P584" s="68"/>
    </row>
    <row r="585">
      <c r="J585" s="63"/>
      <c r="K585" s="64"/>
      <c r="L585" s="65"/>
      <c r="M585" s="66"/>
      <c r="N585" s="67"/>
      <c r="P585" s="68"/>
    </row>
    <row r="586">
      <c r="J586" s="63"/>
      <c r="K586" s="64"/>
      <c r="L586" s="65"/>
      <c r="M586" s="66"/>
      <c r="N586" s="67"/>
      <c r="P586" s="68"/>
    </row>
    <row r="587">
      <c r="J587" s="63"/>
      <c r="K587" s="64"/>
      <c r="L587" s="65"/>
      <c r="M587" s="66"/>
      <c r="N587" s="67"/>
      <c r="P587" s="68"/>
    </row>
    <row r="588">
      <c r="J588" s="63"/>
      <c r="K588" s="64"/>
      <c r="L588" s="65"/>
      <c r="M588" s="66"/>
      <c r="N588" s="67"/>
      <c r="P588" s="68"/>
    </row>
    <row r="589">
      <c r="J589" s="63"/>
      <c r="K589" s="64"/>
      <c r="L589" s="65"/>
      <c r="M589" s="66"/>
      <c r="N589" s="67"/>
      <c r="P589" s="68"/>
    </row>
    <row r="590">
      <c r="J590" s="63"/>
      <c r="K590" s="64"/>
      <c r="L590" s="65"/>
      <c r="M590" s="66"/>
      <c r="N590" s="67"/>
      <c r="P590" s="68"/>
    </row>
    <row r="591">
      <c r="J591" s="63"/>
      <c r="K591" s="64"/>
      <c r="L591" s="65"/>
      <c r="M591" s="66"/>
      <c r="N591" s="67"/>
      <c r="P591" s="68"/>
    </row>
    <row r="592">
      <c r="J592" s="63"/>
      <c r="K592" s="64"/>
      <c r="L592" s="65"/>
      <c r="M592" s="66"/>
      <c r="N592" s="67"/>
      <c r="P592" s="68"/>
    </row>
    <row r="593">
      <c r="J593" s="63"/>
      <c r="K593" s="64"/>
      <c r="L593" s="65"/>
      <c r="M593" s="66"/>
      <c r="N593" s="67"/>
      <c r="P593" s="68"/>
    </row>
    <row r="594">
      <c r="J594" s="63"/>
      <c r="K594" s="64"/>
      <c r="L594" s="65"/>
      <c r="M594" s="66"/>
      <c r="N594" s="67"/>
      <c r="P594" s="68"/>
    </row>
    <row r="595">
      <c r="J595" s="63"/>
      <c r="K595" s="64"/>
      <c r="L595" s="65"/>
      <c r="M595" s="66"/>
      <c r="N595" s="67"/>
      <c r="P595" s="68"/>
    </row>
    <row r="596">
      <c r="J596" s="63"/>
      <c r="K596" s="64"/>
      <c r="L596" s="65"/>
      <c r="M596" s="66"/>
      <c r="N596" s="67"/>
      <c r="P596" s="68"/>
    </row>
    <row r="597">
      <c r="J597" s="63"/>
      <c r="K597" s="64"/>
      <c r="L597" s="65"/>
      <c r="M597" s="66"/>
      <c r="N597" s="67"/>
      <c r="P597" s="68"/>
    </row>
    <row r="598">
      <c r="J598" s="63"/>
      <c r="K598" s="64"/>
      <c r="L598" s="65"/>
      <c r="M598" s="66"/>
      <c r="N598" s="67"/>
      <c r="P598" s="68"/>
    </row>
    <row r="599">
      <c r="J599" s="63"/>
      <c r="K599" s="64"/>
      <c r="L599" s="65"/>
      <c r="M599" s="66"/>
      <c r="N599" s="67"/>
      <c r="P599" s="68"/>
    </row>
    <row r="600">
      <c r="J600" s="63"/>
      <c r="K600" s="64"/>
      <c r="L600" s="65"/>
      <c r="M600" s="66"/>
      <c r="N600" s="67"/>
      <c r="P600" s="68"/>
    </row>
    <row r="601">
      <c r="J601" s="63"/>
      <c r="K601" s="64"/>
      <c r="L601" s="65"/>
      <c r="M601" s="66"/>
      <c r="N601" s="67"/>
      <c r="P601" s="68"/>
    </row>
    <row r="602">
      <c r="J602" s="63"/>
      <c r="K602" s="64"/>
      <c r="L602" s="65"/>
      <c r="M602" s="66"/>
      <c r="N602" s="67"/>
      <c r="P602" s="68"/>
    </row>
    <row r="603">
      <c r="J603" s="63"/>
      <c r="K603" s="64"/>
      <c r="L603" s="65"/>
      <c r="M603" s="66"/>
      <c r="N603" s="67"/>
      <c r="P603" s="68"/>
    </row>
    <row r="604">
      <c r="J604" s="63"/>
      <c r="K604" s="64"/>
      <c r="L604" s="65"/>
      <c r="M604" s="66"/>
      <c r="N604" s="67"/>
      <c r="P604" s="68"/>
    </row>
    <row r="605">
      <c r="J605" s="63"/>
      <c r="K605" s="64"/>
      <c r="L605" s="65"/>
      <c r="M605" s="66"/>
      <c r="N605" s="67"/>
      <c r="P605" s="68"/>
    </row>
    <row r="606">
      <c r="J606" s="63"/>
      <c r="K606" s="64"/>
      <c r="L606" s="65"/>
      <c r="M606" s="66"/>
      <c r="N606" s="67"/>
      <c r="P606" s="68"/>
    </row>
    <row r="607">
      <c r="J607" s="63"/>
      <c r="K607" s="64"/>
      <c r="L607" s="65"/>
      <c r="M607" s="66"/>
      <c r="N607" s="67"/>
      <c r="P607" s="68"/>
    </row>
    <row r="608">
      <c r="J608" s="63"/>
      <c r="K608" s="64"/>
      <c r="L608" s="65"/>
      <c r="M608" s="66"/>
      <c r="N608" s="67"/>
      <c r="P608" s="68"/>
    </row>
    <row r="609">
      <c r="J609" s="63"/>
      <c r="K609" s="64"/>
      <c r="L609" s="65"/>
      <c r="M609" s="66"/>
      <c r="N609" s="67"/>
      <c r="P609" s="68"/>
    </row>
    <row r="610">
      <c r="J610" s="63"/>
      <c r="K610" s="64"/>
      <c r="L610" s="65"/>
      <c r="M610" s="66"/>
      <c r="N610" s="67"/>
      <c r="P610" s="68"/>
    </row>
    <row r="611">
      <c r="J611" s="63"/>
      <c r="K611" s="64"/>
      <c r="L611" s="65"/>
      <c r="M611" s="66"/>
      <c r="N611" s="67"/>
      <c r="P611" s="68"/>
    </row>
    <row r="612">
      <c r="J612" s="63"/>
      <c r="K612" s="64"/>
      <c r="L612" s="65"/>
      <c r="M612" s="66"/>
      <c r="N612" s="67"/>
      <c r="P612" s="68"/>
    </row>
    <row r="613">
      <c r="J613" s="63"/>
      <c r="K613" s="64"/>
      <c r="L613" s="65"/>
      <c r="M613" s="66"/>
      <c r="N613" s="67"/>
      <c r="P613" s="68"/>
    </row>
    <row r="614">
      <c r="J614" s="63"/>
      <c r="K614" s="64"/>
      <c r="L614" s="65"/>
      <c r="M614" s="66"/>
      <c r="N614" s="67"/>
      <c r="P614" s="68"/>
    </row>
    <row r="615">
      <c r="J615" s="63"/>
      <c r="K615" s="64"/>
      <c r="L615" s="65"/>
      <c r="M615" s="66"/>
      <c r="N615" s="67"/>
      <c r="P615" s="68"/>
    </row>
    <row r="616">
      <c r="J616" s="63"/>
      <c r="K616" s="64"/>
      <c r="L616" s="65"/>
      <c r="M616" s="66"/>
      <c r="N616" s="67"/>
      <c r="P616" s="68"/>
    </row>
    <row r="617">
      <c r="J617" s="63"/>
      <c r="K617" s="64"/>
      <c r="L617" s="65"/>
      <c r="M617" s="66"/>
      <c r="N617" s="67"/>
      <c r="P617" s="68"/>
    </row>
    <row r="618">
      <c r="J618" s="63"/>
      <c r="K618" s="64"/>
      <c r="L618" s="65"/>
      <c r="M618" s="66"/>
      <c r="N618" s="67"/>
      <c r="P618" s="68"/>
    </row>
    <row r="619">
      <c r="J619" s="63"/>
      <c r="K619" s="64"/>
      <c r="L619" s="65"/>
      <c r="M619" s="66"/>
      <c r="N619" s="67"/>
      <c r="P619" s="68"/>
    </row>
    <row r="620">
      <c r="J620" s="63"/>
      <c r="K620" s="64"/>
      <c r="L620" s="65"/>
      <c r="M620" s="66"/>
      <c r="N620" s="67"/>
      <c r="P620" s="68"/>
    </row>
    <row r="621">
      <c r="J621" s="63"/>
      <c r="K621" s="64"/>
      <c r="L621" s="65"/>
      <c r="M621" s="66"/>
      <c r="N621" s="67"/>
      <c r="P621" s="68"/>
    </row>
    <row r="622">
      <c r="J622" s="63"/>
      <c r="K622" s="64"/>
      <c r="L622" s="65"/>
      <c r="M622" s="66"/>
      <c r="N622" s="67"/>
      <c r="P622" s="68"/>
    </row>
    <row r="623">
      <c r="J623" s="63"/>
      <c r="K623" s="64"/>
      <c r="L623" s="65"/>
      <c r="M623" s="66"/>
      <c r="N623" s="67"/>
      <c r="P623" s="68"/>
    </row>
    <row r="624">
      <c r="J624" s="63"/>
      <c r="K624" s="64"/>
      <c r="L624" s="65"/>
      <c r="M624" s="66"/>
      <c r="N624" s="67"/>
      <c r="P624" s="68"/>
    </row>
    <row r="625">
      <c r="J625" s="63"/>
      <c r="K625" s="64"/>
      <c r="L625" s="65"/>
      <c r="M625" s="66"/>
      <c r="N625" s="67"/>
      <c r="P625" s="68"/>
    </row>
    <row r="626">
      <c r="J626" s="63"/>
      <c r="K626" s="64"/>
      <c r="L626" s="65"/>
      <c r="M626" s="66"/>
      <c r="N626" s="67"/>
      <c r="P626" s="68"/>
    </row>
    <row r="627">
      <c r="J627" s="63"/>
      <c r="K627" s="64"/>
      <c r="L627" s="65"/>
      <c r="M627" s="66"/>
      <c r="N627" s="67"/>
      <c r="P627" s="68"/>
    </row>
    <row r="628">
      <c r="J628" s="63"/>
      <c r="K628" s="64"/>
      <c r="L628" s="65"/>
      <c r="M628" s="66"/>
      <c r="N628" s="67"/>
      <c r="P628" s="68"/>
    </row>
    <row r="629">
      <c r="J629" s="63"/>
      <c r="K629" s="64"/>
      <c r="L629" s="65"/>
      <c r="M629" s="66"/>
      <c r="N629" s="67"/>
      <c r="P629" s="68"/>
    </row>
    <row r="630">
      <c r="J630" s="63"/>
      <c r="K630" s="64"/>
      <c r="L630" s="65"/>
      <c r="M630" s="66"/>
      <c r="N630" s="67"/>
      <c r="P630" s="68"/>
    </row>
    <row r="631">
      <c r="J631" s="63"/>
      <c r="K631" s="64"/>
      <c r="L631" s="65"/>
      <c r="M631" s="66"/>
      <c r="N631" s="67"/>
      <c r="P631" s="68"/>
    </row>
    <row r="632">
      <c r="J632" s="63"/>
      <c r="K632" s="64"/>
      <c r="L632" s="65"/>
      <c r="M632" s="66"/>
      <c r="N632" s="67"/>
      <c r="P632" s="68"/>
    </row>
    <row r="633">
      <c r="J633" s="63"/>
      <c r="K633" s="64"/>
      <c r="L633" s="65"/>
      <c r="M633" s="66"/>
      <c r="N633" s="67"/>
      <c r="P633" s="68"/>
    </row>
    <row r="634">
      <c r="J634" s="63"/>
      <c r="K634" s="64"/>
      <c r="L634" s="65"/>
      <c r="M634" s="66"/>
      <c r="N634" s="67"/>
      <c r="P634" s="68"/>
    </row>
    <row r="635">
      <c r="J635" s="63"/>
      <c r="K635" s="64"/>
      <c r="L635" s="65"/>
      <c r="M635" s="66"/>
      <c r="N635" s="67"/>
      <c r="P635" s="68"/>
    </row>
    <row r="636">
      <c r="J636" s="63"/>
      <c r="K636" s="64"/>
      <c r="L636" s="65"/>
      <c r="M636" s="66"/>
      <c r="N636" s="67"/>
      <c r="P636" s="68"/>
    </row>
    <row r="637">
      <c r="J637" s="63"/>
      <c r="K637" s="64"/>
      <c r="L637" s="65"/>
      <c r="M637" s="66"/>
      <c r="N637" s="67"/>
      <c r="P637" s="68"/>
    </row>
    <row r="638">
      <c r="J638" s="63"/>
      <c r="K638" s="64"/>
      <c r="L638" s="65"/>
      <c r="M638" s="66"/>
      <c r="N638" s="67"/>
      <c r="P638" s="68"/>
    </row>
    <row r="639">
      <c r="J639" s="63"/>
      <c r="K639" s="64"/>
      <c r="L639" s="65"/>
      <c r="M639" s="66"/>
      <c r="N639" s="67"/>
      <c r="P639" s="68"/>
    </row>
    <row r="640">
      <c r="J640" s="63"/>
      <c r="K640" s="64"/>
      <c r="L640" s="65"/>
      <c r="M640" s="66"/>
      <c r="N640" s="67"/>
      <c r="P640" s="68"/>
    </row>
    <row r="641">
      <c r="J641" s="63"/>
      <c r="K641" s="64"/>
      <c r="L641" s="65"/>
      <c r="M641" s="66"/>
      <c r="N641" s="67"/>
      <c r="P641" s="68"/>
    </row>
    <row r="642">
      <c r="J642" s="63"/>
      <c r="K642" s="64"/>
      <c r="L642" s="65"/>
      <c r="M642" s="66"/>
      <c r="N642" s="67"/>
      <c r="P642" s="68"/>
    </row>
    <row r="643">
      <c r="J643" s="63"/>
      <c r="K643" s="64"/>
      <c r="L643" s="65"/>
      <c r="M643" s="66"/>
      <c r="N643" s="67"/>
      <c r="P643" s="68"/>
    </row>
    <row r="644">
      <c r="J644" s="63"/>
      <c r="K644" s="64"/>
      <c r="L644" s="65"/>
      <c r="M644" s="66"/>
      <c r="N644" s="67"/>
      <c r="P644" s="68"/>
    </row>
    <row r="645">
      <c r="J645" s="63"/>
      <c r="K645" s="64"/>
      <c r="L645" s="65"/>
      <c r="M645" s="66"/>
      <c r="N645" s="67"/>
      <c r="P645" s="68"/>
    </row>
    <row r="646">
      <c r="J646" s="63"/>
      <c r="K646" s="64"/>
      <c r="L646" s="65"/>
      <c r="M646" s="66"/>
      <c r="N646" s="67"/>
      <c r="P646" s="68"/>
    </row>
    <row r="647">
      <c r="J647" s="63"/>
      <c r="K647" s="64"/>
      <c r="L647" s="65"/>
      <c r="M647" s="66"/>
      <c r="N647" s="67"/>
      <c r="P647" s="68"/>
    </row>
    <row r="648">
      <c r="J648" s="63"/>
      <c r="K648" s="64"/>
      <c r="L648" s="65"/>
      <c r="M648" s="66"/>
      <c r="N648" s="67"/>
      <c r="P648" s="68"/>
    </row>
    <row r="649">
      <c r="J649" s="63"/>
      <c r="K649" s="64"/>
      <c r="L649" s="65"/>
      <c r="M649" s="66"/>
      <c r="N649" s="67"/>
      <c r="P649" s="68"/>
    </row>
    <row r="650">
      <c r="J650" s="63"/>
      <c r="K650" s="64"/>
      <c r="L650" s="65"/>
      <c r="M650" s="66"/>
      <c r="N650" s="67"/>
      <c r="P650" s="68"/>
    </row>
    <row r="651">
      <c r="J651" s="63"/>
      <c r="K651" s="64"/>
      <c r="L651" s="65"/>
      <c r="M651" s="66"/>
      <c r="N651" s="67"/>
      <c r="P651" s="68"/>
    </row>
    <row r="652">
      <c r="J652" s="63"/>
      <c r="K652" s="64"/>
      <c r="L652" s="65"/>
      <c r="M652" s="66"/>
      <c r="N652" s="67"/>
      <c r="P652" s="68"/>
    </row>
    <row r="653">
      <c r="J653" s="63"/>
      <c r="K653" s="64"/>
      <c r="L653" s="65"/>
      <c r="M653" s="66"/>
      <c r="N653" s="67"/>
      <c r="P653" s="68"/>
    </row>
    <row r="654">
      <c r="J654" s="63"/>
      <c r="K654" s="64"/>
      <c r="L654" s="65"/>
      <c r="M654" s="66"/>
      <c r="N654" s="67"/>
      <c r="P654" s="68"/>
    </row>
    <row r="655">
      <c r="J655" s="63"/>
      <c r="K655" s="64"/>
      <c r="L655" s="65"/>
      <c r="M655" s="66"/>
      <c r="N655" s="67"/>
      <c r="P655" s="68"/>
    </row>
    <row r="656">
      <c r="J656" s="63"/>
      <c r="K656" s="64"/>
      <c r="L656" s="65"/>
      <c r="M656" s="66"/>
      <c r="N656" s="67"/>
      <c r="P656" s="68"/>
    </row>
    <row r="657">
      <c r="J657" s="63"/>
      <c r="K657" s="64"/>
      <c r="L657" s="65"/>
      <c r="M657" s="66"/>
      <c r="N657" s="67"/>
      <c r="P657" s="68"/>
    </row>
    <row r="658">
      <c r="J658" s="63"/>
      <c r="K658" s="64"/>
      <c r="L658" s="65"/>
      <c r="M658" s="66"/>
      <c r="N658" s="67"/>
      <c r="P658" s="68"/>
    </row>
    <row r="659">
      <c r="J659" s="63"/>
      <c r="K659" s="64"/>
      <c r="L659" s="65"/>
      <c r="M659" s="66"/>
      <c r="N659" s="67"/>
      <c r="P659" s="68"/>
    </row>
    <row r="660">
      <c r="J660" s="63"/>
      <c r="K660" s="64"/>
      <c r="L660" s="65"/>
      <c r="M660" s="66"/>
      <c r="N660" s="67"/>
      <c r="P660" s="68"/>
    </row>
    <row r="661">
      <c r="J661" s="63"/>
      <c r="K661" s="64"/>
      <c r="L661" s="65"/>
      <c r="M661" s="66"/>
      <c r="N661" s="67"/>
      <c r="P661" s="68"/>
    </row>
    <row r="662">
      <c r="J662" s="63"/>
      <c r="K662" s="64"/>
      <c r="L662" s="65"/>
      <c r="M662" s="66"/>
      <c r="N662" s="67"/>
      <c r="P662" s="68"/>
    </row>
    <row r="663">
      <c r="J663" s="63"/>
      <c r="K663" s="64"/>
      <c r="L663" s="65"/>
      <c r="M663" s="66"/>
      <c r="N663" s="67"/>
      <c r="P663" s="68"/>
    </row>
    <row r="664">
      <c r="J664" s="63"/>
      <c r="K664" s="64"/>
      <c r="L664" s="65"/>
      <c r="M664" s="66"/>
      <c r="N664" s="67"/>
      <c r="P664" s="68"/>
    </row>
    <row r="665">
      <c r="J665" s="63"/>
      <c r="K665" s="64"/>
      <c r="L665" s="65"/>
      <c r="M665" s="66"/>
      <c r="N665" s="67"/>
      <c r="P665" s="68"/>
    </row>
    <row r="666">
      <c r="J666" s="63"/>
      <c r="K666" s="64"/>
      <c r="L666" s="65"/>
      <c r="M666" s="66"/>
      <c r="N666" s="67"/>
      <c r="P666" s="68"/>
    </row>
    <row r="667">
      <c r="J667" s="63"/>
      <c r="K667" s="64"/>
      <c r="L667" s="65"/>
      <c r="M667" s="66"/>
      <c r="N667" s="67"/>
      <c r="P667" s="68"/>
    </row>
    <row r="668">
      <c r="J668" s="63"/>
      <c r="K668" s="64"/>
      <c r="L668" s="65"/>
      <c r="M668" s="66"/>
      <c r="N668" s="67"/>
      <c r="P668" s="68"/>
    </row>
    <row r="669">
      <c r="J669" s="63"/>
      <c r="K669" s="64"/>
      <c r="L669" s="65"/>
      <c r="M669" s="66"/>
      <c r="N669" s="67"/>
      <c r="P669" s="68"/>
    </row>
    <row r="670">
      <c r="J670" s="63"/>
      <c r="K670" s="64"/>
      <c r="L670" s="65"/>
      <c r="M670" s="66"/>
      <c r="N670" s="67"/>
      <c r="P670" s="68"/>
    </row>
    <row r="671">
      <c r="J671" s="63"/>
      <c r="K671" s="64"/>
      <c r="L671" s="65"/>
      <c r="M671" s="66"/>
      <c r="N671" s="67"/>
      <c r="P671" s="68"/>
    </row>
    <row r="672">
      <c r="J672" s="63"/>
      <c r="K672" s="64"/>
      <c r="L672" s="65"/>
      <c r="M672" s="66"/>
      <c r="N672" s="67"/>
      <c r="P672" s="68"/>
    </row>
    <row r="673">
      <c r="J673" s="63"/>
      <c r="K673" s="64"/>
      <c r="L673" s="65"/>
      <c r="M673" s="66"/>
      <c r="N673" s="67"/>
      <c r="P673" s="68"/>
    </row>
    <row r="674">
      <c r="J674" s="63"/>
      <c r="K674" s="64"/>
      <c r="L674" s="65"/>
      <c r="M674" s="66"/>
      <c r="N674" s="67"/>
      <c r="P674" s="68"/>
    </row>
    <row r="675">
      <c r="J675" s="63"/>
      <c r="K675" s="64"/>
      <c r="L675" s="65"/>
      <c r="M675" s="66"/>
      <c r="N675" s="67"/>
      <c r="P675" s="68"/>
    </row>
    <row r="676">
      <c r="J676" s="63"/>
      <c r="K676" s="64"/>
      <c r="L676" s="65"/>
      <c r="M676" s="66"/>
      <c r="N676" s="67"/>
      <c r="P676" s="68"/>
    </row>
    <row r="677">
      <c r="J677" s="63"/>
      <c r="K677" s="64"/>
      <c r="L677" s="65"/>
      <c r="M677" s="66"/>
      <c r="N677" s="67"/>
      <c r="P677" s="68"/>
    </row>
    <row r="678">
      <c r="J678" s="63"/>
      <c r="K678" s="64"/>
      <c r="L678" s="65"/>
      <c r="M678" s="66"/>
      <c r="N678" s="67"/>
      <c r="P678" s="68"/>
    </row>
    <row r="679">
      <c r="J679" s="63"/>
      <c r="K679" s="64"/>
      <c r="L679" s="65"/>
      <c r="M679" s="66"/>
      <c r="N679" s="67"/>
      <c r="P679" s="68"/>
    </row>
    <row r="680">
      <c r="J680" s="63"/>
      <c r="K680" s="64"/>
      <c r="L680" s="65"/>
      <c r="M680" s="66"/>
      <c r="N680" s="67"/>
      <c r="P680" s="68"/>
    </row>
    <row r="681">
      <c r="J681" s="63"/>
      <c r="K681" s="64"/>
      <c r="L681" s="65"/>
      <c r="M681" s="66"/>
      <c r="N681" s="67"/>
      <c r="P681" s="68"/>
    </row>
    <row r="682">
      <c r="J682" s="63"/>
      <c r="K682" s="64"/>
      <c r="L682" s="65"/>
      <c r="M682" s="66"/>
      <c r="N682" s="67"/>
      <c r="P682" s="68"/>
    </row>
    <row r="683">
      <c r="J683" s="63"/>
      <c r="K683" s="64"/>
      <c r="L683" s="65"/>
      <c r="M683" s="66"/>
      <c r="N683" s="67"/>
      <c r="P683" s="68"/>
    </row>
    <row r="684">
      <c r="J684" s="63"/>
      <c r="K684" s="64"/>
      <c r="L684" s="65"/>
      <c r="M684" s="66"/>
      <c r="N684" s="67"/>
      <c r="P684" s="68"/>
    </row>
    <row r="685">
      <c r="J685" s="63"/>
      <c r="K685" s="64"/>
      <c r="L685" s="65"/>
      <c r="M685" s="66"/>
      <c r="N685" s="67"/>
      <c r="P685" s="68"/>
    </row>
    <row r="686">
      <c r="J686" s="63"/>
      <c r="K686" s="64"/>
      <c r="L686" s="65"/>
      <c r="M686" s="66"/>
      <c r="N686" s="67"/>
      <c r="P686" s="68"/>
    </row>
    <row r="687">
      <c r="J687" s="63"/>
      <c r="K687" s="64"/>
      <c r="L687" s="65"/>
      <c r="M687" s="66"/>
      <c r="N687" s="67"/>
      <c r="P687" s="68"/>
    </row>
    <row r="688">
      <c r="J688" s="63"/>
      <c r="K688" s="64"/>
      <c r="L688" s="65"/>
      <c r="M688" s="66"/>
      <c r="N688" s="67"/>
      <c r="P688" s="68"/>
    </row>
    <row r="689">
      <c r="J689" s="63"/>
      <c r="K689" s="64"/>
      <c r="L689" s="65"/>
      <c r="M689" s="66"/>
      <c r="N689" s="67"/>
      <c r="P689" s="68"/>
    </row>
    <row r="690">
      <c r="J690" s="63"/>
      <c r="K690" s="64"/>
      <c r="L690" s="65"/>
      <c r="M690" s="66"/>
      <c r="N690" s="67"/>
      <c r="P690" s="68"/>
    </row>
    <row r="691">
      <c r="J691" s="63"/>
      <c r="K691" s="64"/>
      <c r="L691" s="65"/>
      <c r="M691" s="66"/>
      <c r="N691" s="67"/>
      <c r="P691" s="68"/>
    </row>
    <row r="692">
      <c r="J692" s="63"/>
      <c r="K692" s="64"/>
      <c r="L692" s="65"/>
      <c r="M692" s="66"/>
      <c r="N692" s="67"/>
      <c r="P692" s="68"/>
    </row>
    <row r="693">
      <c r="J693" s="63"/>
      <c r="K693" s="64"/>
      <c r="L693" s="65"/>
      <c r="M693" s="66"/>
      <c r="N693" s="67"/>
      <c r="P693" s="68"/>
    </row>
    <row r="694">
      <c r="J694" s="63"/>
      <c r="K694" s="64"/>
      <c r="L694" s="65"/>
      <c r="M694" s="66"/>
      <c r="N694" s="67"/>
      <c r="P694" s="68"/>
    </row>
    <row r="695">
      <c r="J695" s="63"/>
      <c r="K695" s="64"/>
      <c r="L695" s="65"/>
      <c r="M695" s="66"/>
      <c r="N695" s="67"/>
      <c r="P695" s="68"/>
    </row>
    <row r="696">
      <c r="J696" s="63"/>
      <c r="K696" s="64"/>
      <c r="L696" s="65"/>
      <c r="M696" s="66"/>
      <c r="N696" s="67"/>
      <c r="P696" s="68"/>
    </row>
    <row r="697">
      <c r="J697" s="63"/>
      <c r="K697" s="64"/>
      <c r="L697" s="65"/>
      <c r="M697" s="66"/>
      <c r="N697" s="67"/>
      <c r="P697" s="68"/>
    </row>
    <row r="698">
      <c r="J698" s="63"/>
      <c r="K698" s="64"/>
      <c r="L698" s="65"/>
      <c r="M698" s="66"/>
      <c r="N698" s="67"/>
      <c r="P698" s="68"/>
    </row>
    <row r="699">
      <c r="J699" s="63"/>
      <c r="K699" s="64"/>
      <c r="L699" s="65"/>
      <c r="M699" s="66"/>
      <c r="N699" s="67"/>
      <c r="P699" s="68"/>
    </row>
    <row r="700">
      <c r="J700" s="63"/>
      <c r="K700" s="64"/>
      <c r="L700" s="65"/>
      <c r="M700" s="66"/>
      <c r="N700" s="67"/>
      <c r="P700" s="68"/>
    </row>
    <row r="701">
      <c r="J701" s="63"/>
      <c r="K701" s="64"/>
      <c r="L701" s="65"/>
      <c r="M701" s="66"/>
      <c r="N701" s="67"/>
      <c r="P701" s="68"/>
    </row>
    <row r="702">
      <c r="J702" s="63"/>
      <c r="K702" s="64"/>
      <c r="L702" s="65"/>
      <c r="M702" s="66"/>
      <c r="N702" s="67"/>
      <c r="P702" s="68"/>
    </row>
    <row r="703">
      <c r="J703" s="63"/>
      <c r="K703" s="64"/>
      <c r="L703" s="65"/>
      <c r="M703" s="66"/>
      <c r="N703" s="67"/>
      <c r="P703" s="68"/>
    </row>
    <row r="704">
      <c r="J704" s="63"/>
      <c r="K704" s="64"/>
      <c r="L704" s="65"/>
      <c r="M704" s="66"/>
      <c r="N704" s="67"/>
      <c r="P704" s="68"/>
    </row>
    <row r="705">
      <c r="J705" s="63"/>
      <c r="K705" s="64"/>
      <c r="L705" s="65"/>
      <c r="M705" s="66"/>
      <c r="N705" s="67"/>
      <c r="P705" s="68"/>
    </row>
    <row r="706">
      <c r="J706" s="63"/>
      <c r="K706" s="64"/>
      <c r="L706" s="65"/>
      <c r="M706" s="66"/>
      <c r="N706" s="67"/>
      <c r="P706" s="68"/>
    </row>
    <row r="707">
      <c r="J707" s="63"/>
      <c r="K707" s="64"/>
      <c r="L707" s="65"/>
      <c r="M707" s="66"/>
      <c r="N707" s="67"/>
      <c r="P707" s="68"/>
    </row>
    <row r="708">
      <c r="J708" s="63"/>
      <c r="K708" s="64"/>
      <c r="L708" s="65"/>
      <c r="M708" s="66"/>
      <c r="N708" s="67"/>
      <c r="P708" s="68"/>
    </row>
    <row r="709">
      <c r="J709" s="63"/>
      <c r="K709" s="64"/>
      <c r="L709" s="65"/>
      <c r="M709" s="66"/>
      <c r="N709" s="67"/>
      <c r="P709" s="68"/>
    </row>
    <row r="710">
      <c r="J710" s="63"/>
      <c r="K710" s="64"/>
      <c r="L710" s="65"/>
      <c r="M710" s="66"/>
      <c r="N710" s="67"/>
      <c r="P710" s="68"/>
    </row>
    <row r="711">
      <c r="J711" s="63"/>
      <c r="K711" s="64"/>
      <c r="L711" s="65"/>
      <c r="M711" s="66"/>
      <c r="N711" s="67"/>
      <c r="P711" s="68"/>
    </row>
    <row r="712">
      <c r="J712" s="63"/>
      <c r="K712" s="64"/>
      <c r="L712" s="65"/>
      <c r="M712" s="66"/>
      <c r="N712" s="67"/>
      <c r="P712" s="68"/>
    </row>
    <row r="713">
      <c r="J713" s="63"/>
      <c r="K713" s="64"/>
      <c r="L713" s="65"/>
      <c r="M713" s="66"/>
      <c r="N713" s="67"/>
      <c r="P713" s="68"/>
    </row>
    <row r="714">
      <c r="J714" s="63"/>
      <c r="K714" s="64"/>
      <c r="L714" s="65"/>
      <c r="M714" s="66"/>
      <c r="N714" s="67"/>
      <c r="P714" s="68"/>
    </row>
    <row r="715">
      <c r="J715" s="63"/>
      <c r="K715" s="64"/>
      <c r="L715" s="65"/>
      <c r="M715" s="66"/>
      <c r="N715" s="67"/>
      <c r="P715" s="68"/>
    </row>
    <row r="716">
      <c r="J716" s="63"/>
      <c r="K716" s="64"/>
      <c r="L716" s="65"/>
      <c r="M716" s="66"/>
      <c r="N716" s="67"/>
      <c r="P716" s="68"/>
    </row>
    <row r="717">
      <c r="J717" s="63"/>
      <c r="K717" s="64"/>
      <c r="L717" s="65"/>
      <c r="M717" s="66"/>
      <c r="N717" s="67"/>
      <c r="P717" s="68"/>
    </row>
    <row r="718">
      <c r="J718" s="63"/>
      <c r="K718" s="64"/>
      <c r="L718" s="65"/>
      <c r="M718" s="66"/>
      <c r="N718" s="67"/>
      <c r="P718" s="68"/>
    </row>
    <row r="719">
      <c r="J719" s="63"/>
      <c r="K719" s="64"/>
      <c r="L719" s="65"/>
      <c r="M719" s="66"/>
      <c r="N719" s="67"/>
      <c r="P719" s="68"/>
    </row>
    <row r="720">
      <c r="J720" s="63"/>
      <c r="K720" s="64"/>
      <c r="L720" s="65"/>
      <c r="M720" s="66"/>
      <c r="N720" s="67"/>
      <c r="P720" s="68"/>
    </row>
    <row r="721">
      <c r="J721" s="63"/>
      <c r="K721" s="64"/>
      <c r="L721" s="65"/>
      <c r="M721" s="66"/>
      <c r="N721" s="67"/>
      <c r="P721" s="68"/>
    </row>
    <row r="722">
      <c r="J722" s="63"/>
      <c r="K722" s="64"/>
      <c r="L722" s="65"/>
      <c r="M722" s="66"/>
      <c r="N722" s="67"/>
      <c r="P722" s="68"/>
    </row>
    <row r="723">
      <c r="J723" s="63"/>
      <c r="K723" s="64"/>
      <c r="L723" s="65"/>
      <c r="M723" s="66"/>
      <c r="N723" s="67"/>
      <c r="P723" s="68"/>
    </row>
    <row r="724">
      <c r="J724" s="63"/>
      <c r="K724" s="64"/>
      <c r="L724" s="65"/>
      <c r="M724" s="66"/>
      <c r="N724" s="67"/>
      <c r="P724" s="68"/>
    </row>
    <row r="725">
      <c r="J725" s="63"/>
      <c r="K725" s="64"/>
      <c r="L725" s="65"/>
      <c r="M725" s="66"/>
      <c r="N725" s="67"/>
      <c r="P725" s="68"/>
    </row>
    <row r="726">
      <c r="J726" s="63"/>
      <c r="K726" s="64"/>
      <c r="L726" s="65"/>
      <c r="M726" s="66"/>
      <c r="N726" s="67"/>
      <c r="P726" s="68"/>
    </row>
    <row r="727">
      <c r="J727" s="63"/>
      <c r="K727" s="64"/>
      <c r="L727" s="65"/>
      <c r="M727" s="66"/>
      <c r="N727" s="67"/>
      <c r="P727" s="68"/>
    </row>
    <row r="728">
      <c r="J728" s="63"/>
      <c r="K728" s="64"/>
      <c r="L728" s="65"/>
      <c r="M728" s="66"/>
      <c r="N728" s="67"/>
      <c r="P728" s="68"/>
    </row>
    <row r="729">
      <c r="J729" s="63"/>
      <c r="K729" s="64"/>
      <c r="L729" s="65"/>
      <c r="M729" s="66"/>
      <c r="N729" s="67"/>
      <c r="P729" s="68"/>
    </row>
    <row r="730">
      <c r="J730" s="63"/>
      <c r="K730" s="64"/>
      <c r="L730" s="65"/>
      <c r="M730" s="66"/>
      <c r="N730" s="67"/>
      <c r="P730" s="68"/>
    </row>
    <row r="731">
      <c r="J731" s="63"/>
      <c r="K731" s="64"/>
      <c r="L731" s="65"/>
      <c r="M731" s="66"/>
      <c r="N731" s="67"/>
      <c r="P731" s="68"/>
    </row>
    <row r="732">
      <c r="J732" s="63"/>
      <c r="K732" s="64"/>
      <c r="L732" s="65"/>
      <c r="M732" s="66"/>
      <c r="N732" s="67"/>
      <c r="P732" s="68"/>
    </row>
    <row r="733">
      <c r="J733" s="63"/>
      <c r="K733" s="64"/>
      <c r="L733" s="65"/>
      <c r="M733" s="66"/>
      <c r="N733" s="67"/>
      <c r="P733" s="68"/>
    </row>
    <row r="734">
      <c r="J734" s="63"/>
      <c r="K734" s="64"/>
      <c r="L734" s="65"/>
      <c r="M734" s="66"/>
      <c r="N734" s="67"/>
      <c r="P734" s="68"/>
    </row>
    <row r="735">
      <c r="J735" s="63"/>
      <c r="K735" s="64"/>
      <c r="L735" s="65"/>
      <c r="M735" s="66"/>
      <c r="N735" s="67"/>
      <c r="P735" s="68"/>
    </row>
    <row r="736">
      <c r="J736" s="63"/>
      <c r="K736" s="64"/>
      <c r="L736" s="65"/>
      <c r="M736" s="66"/>
      <c r="N736" s="67"/>
      <c r="P736" s="68"/>
    </row>
    <row r="737">
      <c r="J737" s="63"/>
      <c r="K737" s="64"/>
      <c r="L737" s="65"/>
      <c r="M737" s="66"/>
      <c r="N737" s="67"/>
      <c r="P737" s="68"/>
    </row>
    <row r="738">
      <c r="J738" s="63"/>
      <c r="K738" s="64"/>
      <c r="L738" s="65"/>
      <c r="M738" s="66"/>
      <c r="N738" s="67"/>
      <c r="P738" s="68"/>
    </row>
    <row r="739">
      <c r="J739" s="63"/>
      <c r="K739" s="64"/>
      <c r="L739" s="65"/>
      <c r="M739" s="66"/>
      <c r="N739" s="67"/>
      <c r="P739" s="68"/>
    </row>
    <row r="740">
      <c r="J740" s="63"/>
      <c r="K740" s="64"/>
      <c r="L740" s="65"/>
      <c r="M740" s="66"/>
      <c r="N740" s="67"/>
      <c r="P740" s="68"/>
    </row>
    <row r="741">
      <c r="J741" s="63"/>
      <c r="K741" s="64"/>
      <c r="L741" s="65"/>
      <c r="M741" s="66"/>
      <c r="N741" s="67"/>
      <c r="P741" s="68"/>
    </row>
    <row r="742">
      <c r="J742" s="63"/>
      <c r="K742" s="64"/>
      <c r="L742" s="65"/>
      <c r="M742" s="66"/>
      <c r="N742" s="67"/>
      <c r="P742" s="68"/>
    </row>
    <row r="743">
      <c r="J743" s="63"/>
      <c r="K743" s="64"/>
      <c r="L743" s="65"/>
      <c r="M743" s="66"/>
      <c r="N743" s="67"/>
      <c r="P743" s="68"/>
    </row>
    <row r="744">
      <c r="J744" s="63"/>
      <c r="K744" s="64"/>
      <c r="L744" s="65"/>
      <c r="M744" s="66"/>
      <c r="N744" s="67"/>
      <c r="P744" s="68"/>
    </row>
    <row r="745">
      <c r="J745" s="63"/>
      <c r="K745" s="64"/>
      <c r="L745" s="65"/>
      <c r="M745" s="66"/>
      <c r="N745" s="67"/>
      <c r="P745" s="68"/>
    </row>
    <row r="746">
      <c r="J746" s="63"/>
      <c r="K746" s="64"/>
      <c r="L746" s="65"/>
      <c r="M746" s="66"/>
      <c r="N746" s="67"/>
      <c r="P746" s="68"/>
    </row>
    <row r="747">
      <c r="J747" s="63"/>
      <c r="K747" s="64"/>
      <c r="L747" s="65"/>
      <c r="M747" s="66"/>
      <c r="N747" s="67"/>
      <c r="P747" s="68"/>
    </row>
    <row r="748">
      <c r="J748" s="63"/>
      <c r="K748" s="64"/>
      <c r="L748" s="65"/>
      <c r="M748" s="66"/>
      <c r="N748" s="67"/>
      <c r="P748" s="68"/>
    </row>
    <row r="749">
      <c r="J749" s="63"/>
      <c r="K749" s="64"/>
      <c r="L749" s="65"/>
      <c r="M749" s="66"/>
      <c r="N749" s="67"/>
      <c r="P749" s="68"/>
    </row>
    <row r="750">
      <c r="J750" s="63"/>
      <c r="K750" s="64"/>
      <c r="L750" s="65"/>
      <c r="M750" s="66"/>
      <c r="N750" s="67"/>
      <c r="P750" s="68"/>
    </row>
    <row r="751">
      <c r="J751" s="63"/>
      <c r="K751" s="64"/>
      <c r="L751" s="65"/>
      <c r="M751" s="66"/>
      <c r="N751" s="67"/>
      <c r="P751" s="68"/>
    </row>
    <row r="752">
      <c r="J752" s="63"/>
      <c r="K752" s="64"/>
      <c r="L752" s="65"/>
      <c r="M752" s="66"/>
      <c r="N752" s="67"/>
      <c r="P752" s="68"/>
    </row>
    <row r="753">
      <c r="J753" s="63"/>
      <c r="K753" s="64"/>
      <c r="L753" s="65"/>
      <c r="M753" s="66"/>
      <c r="N753" s="67"/>
      <c r="P753" s="68"/>
    </row>
    <row r="754">
      <c r="J754" s="63"/>
      <c r="K754" s="64"/>
      <c r="L754" s="65"/>
      <c r="M754" s="66"/>
      <c r="N754" s="67"/>
      <c r="P754" s="68"/>
    </row>
    <row r="755">
      <c r="J755" s="63"/>
      <c r="K755" s="64"/>
      <c r="L755" s="65"/>
      <c r="M755" s="66"/>
      <c r="N755" s="67"/>
      <c r="P755" s="68"/>
    </row>
    <row r="756">
      <c r="J756" s="63"/>
      <c r="K756" s="64"/>
      <c r="L756" s="65"/>
      <c r="M756" s="66"/>
      <c r="N756" s="67"/>
      <c r="P756" s="68"/>
    </row>
    <row r="757">
      <c r="J757" s="63"/>
      <c r="K757" s="64"/>
      <c r="L757" s="65"/>
      <c r="M757" s="66"/>
      <c r="N757" s="67"/>
      <c r="P757" s="68"/>
    </row>
    <row r="758">
      <c r="J758" s="63"/>
      <c r="K758" s="64"/>
      <c r="L758" s="65"/>
      <c r="M758" s="66"/>
      <c r="N758" s="67"/>
      <c r="P758" s="68"/>
    </row>
    <row r="759">
      <c r="J759" s="63"/>
      <c r="K759" s="64"/>
      <c r="L759" s="65"/>
      <c r="M759" s="66"/>
      <c r="N759" s="67"/>
      <c r="P759" s="68"/>
    </row>
    <row r="760">
      <c r="J760" s="63"/>
      <c r="K760" s="64"/>
      <c r="L760" s="65"/>
      <c r="M760" s="66"/>
      <c r="N760" s="67"/>
      <c r="P760" s="68"/>
    </row>
    <row r="761">
      <c r="J761" s="63"/>
      <c r="K761" s="64"/>
      <c r="L761" s="65"/>
      <c r="M761" s="66"/>
      <c r="N761" s="67"/>
      <c r="P761" s="68"/>
    </row>
    <row r="762">
      <c r="J762" s="63"/>
      <c r="K762" s="64"/>
      <c r="L762" s="65"/>
      <c r="M762" s="66"/>
      <c r="N762" s="67"/>
      <c r="P762" s="68"/>
    </row>
    <row r="763">
      <c r="J763" s="63"/>
      <c r="K763" s="64"/>
      <c r="L763" s="65"/>
      <c r="M763" s="66"/>
      <c r="N763" s="67"/>
      <c r="P763" s="68"/>
    </row>
    <row r="764">
      <c r="J764" s="63"/>
      <c r="K764" s="64"/>
      <c r="L764" s="65"/>
      <c r="M764" s="66"/>
      <c r="N764" s="67"/>
      <c r="P764" s="68"/>
    </row>
    <row r="765">
      <c r="J765" s="63"/>
      <c r="K765" s="64"/>
      <c r="L765" s="65"/>
      <c r="M765" s="66"/>
      <c r="N765" s="67"/>
      <c r="P765" s="68"/>
    </row>
    <row r="766">
      <c r="J766" s="63"/>
      <c r="K766" s="64"/>
      <c r="L766" s="65"/>
      <c r="M766" s="66"/>
      <c r="N766" s="67"/>
      <c r="P766" s="68"/>
    </row>
    <row r="767">
      <c r="J767" s="63"/>
      <c r="K767" s="64"/>
      <c r="L767" s="65"/>
      <c r="M767" s="66"/>
      <c r="N767" s="67"/>
      <c r="P767" s="68"/>
    </row>
    <row r="768">
      <c r="J768" s="63"/>
      <c r="K768" s="64"/>
      <c r="L768" s="65"/>
      <c r="M768" s="66"/>
      <c r="N768" s="67"/>
      <c r="P768" s="68"/>
    </row>
    <row r="769">
      <c r="J769" s="63"/>
      <c r="K769" s="64"/>
      <c r="L769" s="65"/>
      <c r="M769" s="66"/>
      <c r="N769" s="67"/>
      <c r="P769" s="68"/>
    </row>
    <row r="770">
      <c r="J770" s="63"/>
      <c r="K770" s="64"/>
      <c r="L770" s="65"/>
      <c r="M770" s="66"/>
      <c r="N770" s="67"/>
      <c r="P770" s="68"/>
    </row>
    <row r="771">
      <c r="J771" s="63"/>
      <c r="K771" s="64"/>
      <c r="L771" s="65"/>
      <c r="M771" s="66"/>
      <c r="N771" s="67"/>
      <c r="P771" s="68"/>
    </row>
    <row r="772">
      <c r="J772" s="63"/>
      <c r="K772" s="64"/>
      <c r="L772" s="65"/>
      <c r="M772" s="66"/>
      <c r="N772" s="67"/>
      <c r="P772" s="68"/>
    </row>
    <row r="773">
      <c r="J773" s="63"/>
      <c r="K773" s="64"/>
      <c r="L773" s="65"/>
      <c r="M773" s="66"/>
      <c r="N773" s="67"/>
      <c r="P773" s="68"/>
    </row>
    <row r="774">
      <c r="J774" s="63"/>
      <c r="K774" s="64"/>
      <c r="L774" s="65"/>
      <c r="M774" s="66"/>
      <c r="N774" s="67"/>
      <c r="P774" s="68"/>
    </row>
    <row r="775">
      <c r="J775" s="63"/>
      <c r="K775" s="64"/>
      <c r="L775" s="65"/>
      <c r="M775" s="66"/>
      <c r="N775" s="67"/>
      <c r="P775" s="68"/>
    </row>
    <row r="776">
      <c r="J776" s="63"/>
      <c r="K776" s="64"/>
      <c r="L776" s="65"/>
      <c r="M776" s="66"/>
      <c r="N776" s="67"/>
      <c r="P776" s="68"/>
    </row>
    <row r="777">
      <c r="J777" s="63"/>
      <c r="K777" s="64"/>
      <c r="L777" s="65"/>
      <c r="M777" s="66"/>
      <c r="N777" s="67"/>
      <c r="P777" s="68"/>
    </row>
    <row r="778">
      <c r="J778" s="63"/>
      <c r="K778" s="64"/>
      <c r="L778" s="65"/>
      <c r="M778" s="66"/>
      <c r="N778" s="67"/>
      <c r="P778" s="68"/>
    </row>
    <row r="779">
      <c r="J779" s="63"/>
      <c r="K779" s="64"/>
      <c r="L779" s="65"/>
      <c r="M779" s="66"/>
      <c r="N779" s="67"/>
      <c r="P779" s="68"/>
    </row>
    <row r="780">
      <c r="J780" s="63"/>
      <c r="K780" s="64"/>
      <c r="L780" s="65"/>
      <c r="M780" s="66"/>
      <c r="N780" s="67"/>
      <c r="P780" s="68"/>
    </row>
    <row r="781">
      <c r="J781" s="63"/>
      <c r="K781" s="64"/>
      <c r="L781" s="65"/>
      <c r="M781" s="66"/>
      <c r="N781" s="67"/>
      <c r="P781" s="68"/>
    </row>
    <row r="782">
      <c r="J782" s="63"/>
      <c r="K782" s="64"/>
      <c r="L782" s="65"/>
      <c r="M782" s="66"/>
      <c r="N782" s="67"/>
      <c r="P782" s="68"/>
    </row>
    <row r="783">
      <c r="J783" s="63"/>
      <c r="K783" s="64"/>
      <c r="L783" s="65"/>
      <c r="M783" s="66"/>
      <c r="N783" s="67"/>
      <c r="P783" s="68"/>
    </row>
    <row r="784">
      <c r="J784" s="63"/>
      <c r="K784" s="64"/>
      <c r="L784" s="65"/>
      <c r="M784" s="66"/>
      <c r="N784" s="67"/>
      <c r="P784" s="68"/>
    </row>
    <row r="785">
      <c r="J785" s="63"/>
      <c r="K785" s="64"/>
      <c r="L785" s="65"/>
      <c r="M785" s="66"/>
      <c r="N785" s="67"/>
      <c r="P785" s="68"/>
    </row>
    <row r="786">
      <c r="J786" s="63"/>
      <c r="K786" s="64"/>
      <c r="L786" s="65"/>
      <c r="M786" s="66"/>
      <c r="N786" s="67"/>
      <c r="P786" s="68"/>
    </row>
    <row r="787">
      <c r="J787" s="63"/>
      <c r="K787" s="64"/>
      <c r="L787" s="65"/>
      <c r="M787" s="66"/>
      <c r="N787" s="67"/>
      <c r="P787" s="68"/>
    </row>
    <row r="788">
      <c r="J788" s="63"/>
      <c r="K788" s="64"/>
      <c r="L788" s="65"/>
      <c r="M788" s="66"/>
      <c r="N788" s="67"/>
      <c r="P788" s="68"/>
    </row>
    <row r="789">
      <c r="J789" s="63"/>
      <c r="K789" s="64"/>
      <c r="L789" s="65"/>
      <c r="M789" s="66"/>
      <c r="N789" s="67"/>
      <c r="P789" s="68"/>
    </row>
    <row r="790">
      <c r="J790" s="63"/>
      <c r="K790" s="64"/>
      <c r="L790" s="65"/>
      <c r="M790" s="66"/>
      <c r="N790" s="67"/>
      <c r="P790" s="68"/>
    </row>
    <row r="791">
      <c r="J791" s="63"/>
      <c r="K791" s="64"/>
      <c r="L791" s="65"/>
      <c r="M791" s="66"/>
      <c r="N791" s="67"/>
      <c r="P791" s="68"/>
    </row>
    <row r="792">
      <c r="J792" s="63"/>
      <c r="K792" s="64"/>
      <c r="L792" s="65"/>
      <c r="M792" s="66"/>
      <c r="N792" s="67"/>
      <c r="P792" s="68"/>
    </row>
    <row r="793">
      <c r="J793" s="63"/>
      <c r="K793" s="64"/>
      <c r="L793" s="65"/>
      <c r="M793" s="66"/>
      <c r="N793" s="67"/>
      <c r="P793" s="68"/>
    </row>
    <row r="794">
      <c r="J794" s="63"/>
      <c r="K794" s="64"/>
      <c r="L794" s="65"/>
      <c r="M794" s="66"/>
      <c r="N794" s="67"/>
      <c r="P794" s="68"/>
    </row>
    <row r="795">
      <c r="J795" s="63"/>
      <c r="K795" s="64"/>
      <c r="L795" s="65"/>
      <c r="M795" s="66"/>
      <c r="N795" s="67"/>
      <c r="P795" s="68"/>
    </row>
    <row r="796">
      <c r="J796" s="63"/>
      <c r="K796" s="64"/>
      <c r="L796" s="65"/>
      <c r="M796" s="66"/>
      <c r="N796" s="67"/>
      <c r="P796" s="68"/>
    </row>
    <row r="797">
      <c r="J797" s="63"/>
      <c r="K797" s="64"/>
      <c r="L797" s="65"/>
      <c r="M797" s="66"/>
      <c r="N797" s="67"/>
      <c r="P797" s="68"/>
    </row>
    <row r="798">
      <c r="J798" s="63"/>
      <c r="K798" s="64"/>
      <c r="L798" s="65"/>
      <c r="M798" s="66"/>
      <c r="N798" s="67"/>
      <c r="P798" s="68"/>
    </row>
    <row r="799">
      <c r="J799" s="63"/>
      <c r="K799" s="64"/>
      <c r="L799" s="65"/>
      <c r="M799" s="66"/>
      <c r="N799" s="67"/>
      <c r="P799" s="68"/>
    </row>
    <row r="800">
      <c r="J800" s="63"/>
      <c r="K800" s="64"/>
      <c r="L800" s="65"/>
      <c r="M800" s="66"/>
      <c r="N800" s="67"/>
      <c r="P800" s="68"/>
    </row>
    <row r="801">
      <c r="J801" s="63"/>
      <c r="K801" s="64"/>
      <c r="L801" s="65"/>
      <c r="M801" s="66"/>
      <c r="N801" s="67"/>
      <c r="P801" s="68"/>
    </row>
    <row r="802">
      <c r="J802" s="63"/>
      <c r="K802" s="64"/>
      <c r="L802" s="65"/>
      <c r="M802" s="66"/>
      <c r="N802" s="67"/>
      <c r="P802" s="68"/>
    </row>
    <row r="803">
      <c r="J803" s="63"/>
      <c r="K803" s="64"/>
      <c r="L803" s="65"/>
      <c r="M803" s="66"/>
      <c r="N803" s="67"/>
      <c r="P803" s="68"/>
    </row>
    <row r="804">
      <c r="J804" s="63"/>
      <c r="K804" s="64"/>
      <c r="L804" s="65"/>
      <c r="M804" s="66"/>
      <c r="N804" s="67"/>
      <c r="P804" s="68"/>
    </row>
    <row r="805">
      <c r="J805" s="63"/>
      <c r="K805" s="64"/>
      <c r="L805" s="65"/>
      <c r="M805" s="66"/>
      <c r="N805" s="67"/>
      <c r="P805" s="68"/>
    </row>
    <row r="806">
      <c r="J806" s="63"/>
      <c r="K806" s="64"/>
      <c r="L806" s="65"/>
      <c r="M806" s="66"/>
      <c r="N806" s="67"/>
      <c r="P806" s="68"/>
    </row>
    <row r="807">
      <c r="J807" s="63"/>
      <c r="K807" s="64"/>
      <c r="L807" s="65"/>
      <c r="M807" s="66"/>
      <c r="N807" s="67"/>
      <c r="P807" s="68"/>
    </row>
    <row r="808">
      <c r="J808" s="63"/>
      <c r="K808" s="64"/>
      <c r="L808" s="65"/>
      <c r="M808" s="66"/>
      <c r="N808" s="67"/>
      <c r="P808" s="68"/>
    </row>
    <row r="809">
      <c r="J809" s="63"/>
      <c r="K809" s="64"/>
      <c r="L809" s="65"/>
      <c r="M809" s="66"/>
      <c r="N809" s="67"/>
      <c r="P809" s="68"/>
    </row>
    <row r="810">
      <c r="J810" s="63"/>
      <c r="K810" s="64"/>
      <c r="L810" s="65"/>
      <c r="M810" s="66"/>
      <c r="N810" s="67"/>
      <c r="P810" s="68"/>
    </row>
    <row r="811">
      <c r="J811" s="63"/>
      <c r="K811" s="64"/>
      <c r="L811" s="65"/>
      <c r="M811" s="66"/>
      <c r="N811" s="67"/>
      <c r="P811" s="68"/>
    </row>
    <row r="812">
      <c r="J812" s="63"/>
      <c r="K812" s="64"/>
      <c r="L812" s="65"/>
      <c r="M812" s="66"/>
      <c r="N812" s="67"/>
      <c r="P812" s="68"/>
    </row>
    <row r="813">
      <c r="J813" s="63"/>
      <c r="K813" s="64"/>
      <c r="L813" s="65"/>
      <c r="M813" s="66"/>
      <c r="N813" s="67"/>
      <c r="P813" s="68"/>
    </row>
    <row r="814">
      <c r="J814" s="63"/>
      <c r="K814" s="64"/>
      <c r="L814" s="65"/>
      <c r="M814" s="66"/>
      <c r="N814" s="67"/>
      <c r="P814" s="68"/>
    </row>
    <row r="815">
      <c r="J815" s="63"/>
      <c r="K815" s="64"/>
      <c r="L815" s="65"/>
      <c r="M815" s="66"/>
      <c r="N815" s="67"/>
      <c r="P815" s="68"/>
    </row>
    <row r="816">
      <c r="J816" s="63"/>
      <c r="K816" s="64"/>
      <c r="L816" s="65"/>
      <c r="M816" s="66"/>
      <c r="N816" s="67"/>
      <c r="P816" s="68"/>
    </row>
    <row r="817">
      <c r="J817" s="63"/>
      <c r="K817" s="64"/>
      <c r="L817" s="65"/>
      <c r="M817" s="66"/>
      <c r="N817" s="67"/>
      <c r="P817" s="68"/>
    </row>
    <row r="818">
      <c r="J818" s="63"/>
      <c r="K818" s="64"/>
      <c r="L818" s="65"/>
      <c r="M818" s="66"/>
      <c r="N818" s="67"/>
      <c r="P818" s="68"/>
    </row>
    <row r="819">
      <c r="J819" s="63"/>
      <c r="K819" s="64"/>
      <c r="L819" s="65"/>
      <c r="M819" s="66"/>
      <c r="N819" s="67"/>
      <c r="P819" s="68"/>
    </row>
    <row r="820">
      <c r="J820" s="63"/>
      <c r="K820" s="64"/>
      <c r="L820" s="65"/>
      <c r="M820" s="66"/>
      <c r="N820" s="67"/>
      <c r="P820" s="68"/>
    </row>
    <row r="821">
      <c r="J821" s="63"/>
      <c r="K821" s="64"/>
      <c r="L821" s="65"/>
      <c r="M821" s="66"/>
      <c r="N821" s="67"/>
      <c r="P821" s="68"/>
    </row>
    <row r="822">
      <c r="J822" s="63"/>
      <c r="K822" s="64"/>
      <c r="L822" s="65"/>
      <c r="M822" s="66"/>
      <c r="N822" s="67"/>
      <c r="P822" s="68"/>
    </row>
    <row r="823">
      <c r="J823" s="63"/>
      <c r="K823" s="64"/>
      <c r="L823" s="65"/>
      <c r="M823" s="66"/>
      <c r="N823" s="67"/>
      <c r="P823" s="68"/>
    </row>
    <row r="824">
      <c r="J824" s="63"/>
      <c r="K824" s="64"/>
      <c r="L824" s="65"/>
      <c r="M824" s="66"/>
      <c r="N824" s="67"/>
      <c r="P824" s="68"/>
    </row>
    <row r="825">
      <c r="J825" s="63"/>
      <c r="K825" s="64"/>
      <c r="L825" s="65"/>
      <c r="M825" s="66"/>
      <c r="N825" s="67"/>
      <c r="P825" s="68"/>
    </row>
    <row r="826">
      <c r="J826" s="63"/>
      <c r="K826" s="64"/>
      <c r="L826" s="65"/>
      <c r="M826" s="66"/>
      <c r="N826" s="67"/>
      <c r="P826" s="68"/>
    </row>
    <row r="827">
      <c r="J827" s="63"/>
      <c r="K827" s="64"/>
      <c r="L827" s="65"/>
      <c r="M827" s="66"/>
      <c r="N827" s="67"/>
      <c r="P827" s="68"/>
    </row>
    <row r="828">
      <c r="J828" s="63"/>
      <c r="K828" s="64"/>
      <c r="L828" s="65"/>
      <c r="M828" s="66"/>
      <c r="N828" s="67"/>
      <c r="P828" s="68"/>
    </row>
    <row r="829">
      <c r="J829" s="63"/>
      <c r="K829" s="64"/>
      <c r="L829" s="65"/>
      <c r="M829" s="66"/>
      <c r="N829" s="67"/>
      <c r="P829" s="68"/>
    </row>
    <row r="830">
      <c r="J830" s="63"/>
      <c r="K830" s="64"/>
      <c r="L830" s="65"/>
      <c r="M830" s="66"/>
      <c r="N830" s="67"/>
      <c r="P830" s="68"/>
    </row>
    <row r="831">
      <c r="J831" s="63"/>
      <c r="K831" s="64"/>
      <c r="L831" s="65"/>
      <c r="M831" s="66"/>
      <c r="N831" s="67"/>
      <c r="P831" s="68"/>
    </row>
    <row r="832">
      <c r="J832" s="63"/>
      <c r="K832" s="64"/>
      <c r="L832" s="65"/>
      <c r="M832" s="66"/>
      <c r="N832" s="67"/>
      <c r="P832" s="68"/>
    </row>
    <row r="833">
      <c r="J833" s="63"/>
      <c r="K833" s="64"/>
      <c r="L833" s="65"/>
      <c r="M833" s="66"/>
      <c r="N833" s="67"/>
      <c r="P833" s="68"/>
    </row>
    <row r="834">
      <c r="J834" s="63"/>
      <c r="K834" s="64"/>
      <c r="L834" s="65"/>
      <c r="M834" s="66"/>
      <c r="N834" s="67"/>
      <c r="P834" s="68"/>
    </row>
    <row r="835">
      <c r="J835" s="63"/>
      <c r="K835" s="64"/>
      <c r="L835" s="65"/>
      <c r="M835" s="66"/>
      <c r="N835" s="67"/>
      <c r="P835" s="68"/>
    </row>
    <row r="836">
      <c r="J836" s="63"/>
      <c r="K836" s="64"/>
      <c r="L836" s="65"/>
      <c r="M836" s="66"/>
      <c r="N836" s="67"/>
      <c r="P836" s="68"/>
    </row>
    <row r="837">
      <c r="J837" s="63"/>
      <c r="K837" s="64"/>
      <c r="L837" s="65"/>
      <c r="M837" s="66"/>
      <c r="N837" s="67"/>
      <c r="P837" s="68"/>
    </row>
    <row r="838">
      <c r="J838" s="63"/>
      <c r="K838" s="64"/>
      <c r="L838" s="65"/>
      <c r="M838" s="66"/>
      <c r="N838" s="67"/>
      <c r="P838" s="68"/>
    </row>
    <row r="839">
      <c r="J839" s="63"/>
      <c r="K839" s="64"/>
      <c r="L839" s="65"/>
      <c r="M839" s="66"/>
      <c r="N839" s="67"/>
      <c r="P839" s="68"/>
    </row>
    <row r="840">
      <c r="J840" s="63"/>
      <c r="K840" s="64"/>
      <c r="L840" s="65"/>
      <c r="M840" s="66"/>
      <c r="N840" s="67"/>
      <c r="P840" s="68"/>
    </row>
    <row r="841">
      <c r="J841" s="63"/>
      <c r="K841" s="64"/>
      <c r="L841" s="65"/>
      <c r="M841" s="66"/>
      <c r="N841" s="67"/>
      <c r="P841" s="68"/>
    </row>
    <row r="842">
      <c r="J842" s="63"/>
      <c r="K842" s="64"/>
      <c r="L842" s="65"/>
      <c r="M842" s="66"/>
      <c r="N842" s="67"/>
      <c r="P842" s="68"/>
    </row>
    <row r="843">
      <c r="J843" s="63"/>
      <c r="K843" s="64"/>
      <c r="L843" s="65"/>
      <c r="M843" s="66"/>
      <c r="N843" s="67"/>
      <c r="P843" s="68"/>
    </row>
    <row r="844">
      <c r="J844" s="63"/>
      <c r="K844" s="64"/>
      <c r="L844" s="65"/>
      <c r="M844" s="66"/>
      <c r="N844" s="67"/>
      <c r="P844" s="68"/>
    </row>
    <row r="845">
      <c r="J845" s="63"/>
      <c r="K845" s="64"/>
      <c r="L845" s="65"/>
      <c r="M845" s="66"/>
      <c r="N845" s="67"/>
      <c r="P845" s="68"/>
    </row>
    <row r="846">
      <c r="J846" s="63"/>
      <c r="K846" s="64"/>
      <c r="L846" s="65"/>
      <c r="M846" s="66"/>
      <c r="N846" s="67"/>
      <c r="P846" s="68"/>
    </row>
    <row r="847">
      <c r="J847" s="63"/>
      <c r="K847" s="64"/>
      <c r="L847" s="65"/>
      <c r="M847" s="66"/>
      <c r="N847" s="67"/>
      <c r="P847" s="68"/>
    </row>
    <row r="848">
      <c r="J848" s="63"/>
      <c r="K848" s="64"/>
      <c r="L848" s="65"/>
      <c r="M848" s="66"/>
      <c r="N848" s="67"/>
      <c r="P848" s="68"/>
    </row>
    <row r="849">
      <c r="J849" s="63"/>
      <c r="K849" s="64"/>
      <c r="L849" s="65"/>
      <c r="M849" s="66"/>
      <c r="N849" s="67"/>
      <c r="P849" s="68"/>
    </row>
    <row r="850">
      <c r="J850" s="63"/>
      <c r="K850" s="64"/>
      <c r="L850" s="65"/>
      <c r="M850" s="66"/>
      <c r="N850" s="67"/>
      <c r="P850" s="68"/>
    </row>
    <row r="851">
      <c r="J851" s="63"/>
      <c r="K851" s="64"/>
      <c r="L851" s="65"/>
      <c r="M851" s="66"/>
      <c r="N851" s="67"/>
      <c r="P851" s="68"/>
    </row>
    <row r="852">
      <c r="J852" s="63"/>
      <c r="K852" s="64"/>
      <c r="L852" s="65"/>
      <c r="M852" s="66"/>
      <c r="N852" s="67"/>
      <c r="P852" s="68"/>
    </row>
    <row r="853">
      <c r="J853" s="63"/>
      <c r="K853" s="64"/>
      <c r="L853" s="65"/>
      <c r="M853" s="66"/>
      <c r="N853" s="67"/>
      <c r="P853" s="68"/>
    </row>
    <row r="854">
      <c r="J854" s="63"/>
      <c r="K854" s="64"/>
      <c r="L854" s="65"/>
      <c r="M854" s="66"/>
      <c r="N854" s="67"/>
      <c r="P854" s="68"/>
    </row>
    <row r="855">
      <c r="J855" s="63"/>
      <c r="K855" s="64"/>
      <c r="L855" s="65"/>
      <c r="M855" s="66"/>
      <c r="N855" s="67"/>
      <c r="P855" s="68"/>
    </row>
    <row r="856">
      <c r="J856" s="63"/>
      <c r="K856" s="64"/>
      <c r="L856" s="65"/>
      <c r="M856" s="66"/>
      <c r="N856" s="67"/>
      <c r="P856" s="68"/>
    </row>
    <row r="857">
      <c r="J857" s="63"/>
      <c r="K857" s="64"/>
      <c r="L857" s="65"/>
      <c r="M857" s="66"/>
      <c r="N857" s="67"/>
      <c r="P857" s="68"/>
    </row>
    <row r="858">
      <c r="J858" s="63"/>
      <c r="K858" s="64"/>
      <c r="L858" s="65"/>
      <c r="M858" s="66"/>
      <c r="N858" s="67"/>
      <c r="P858" s="68"/>
    </row>
    <row r="859">
      <c r="J859" s="63"/>
      <c r="K859" s="64"/>
      <c r="L859" s="65"/>
      <c r="M859" s="66"/>
      <c r="N859" s="67"/>
      <c r="P859" s="68"/>
    </row>
    <row r="860">
      <c r="J860" s="63"/>
      <c r="K860" s="64"/>
      <c r="L860" s="65"/>
      <c r="M860" s="66"/>
      <c r="N860" s="67"/>
      <c r="P860" s="68"/>
    </row>
    <row r="861">
      <c r="J861" s="63"/>
      <c r="K861" s="64"/>
      <c r="L861" s="65"/>
      <c r="M861" s="66"/>
      <c r="N861" s="67"/>
      <c r="P861" s="68"/>
    </row>
    <row r="862">
      <c r="J862" s="63"/>
      <c r="K862" s="64"/>
      <c r="L862" s="65"/>
      <c r="M862" s="66"/>
      <c r="N862" s="67"/>
      <c r="P862" s="68"/>
    </row>
    <row r="863">
      <c r="J863" s="63"/>
      <c r="K863" s="64"/>
      <c r="L863" s="65"/>
      <c r="M863" s="66"/>
      <c r="N863" s="67"/>
      <c r="P863" s="68"/>
    </row>
    <row r="864">
      <c r="J864" s="63"/>
      <c r="K864" s="64"/>
      <c r="L864" s="65"/>
      <c r="M864" s="66"/>
      <c r="N864" s="67"/>
      <c r="P864" s="68"/>
    </row>
    <row r="865">
      <c r="J865" s="63"/>
      <c r="K865" s="64"/>
      <c r="L865" s="65"/>
      <c r="M865" s="66"/>
      <c r="N865" s="67"/>
      <c r="P865" s="68"/>
    </row>
    <row r="866">
      <c r="J866" s="63"/>
      <c r="K866" s="64"/>
      <c r="L866" s="65"/>
      <c r="M866" s="66"/>
      <c r="N866" s="67"/>
      <c r="P866" s="68"/>
    </row>
    <row r="867">
      <c r="J867" s="63"/>
      <c r="K867" s="64"/>
      <c r="L867" s="65"/>
      <c r="M867" s="66"/>
      <c r="N867" s="67"/>
      <c r="P867" s="68"/>
    </row>
    <row r="868">
      <c r="J868" s="63"/>
      <c r="K868" s="64"/>
      <c r="L868" s="65"/>
      <c r="M868" s="66"/>
      <c r="N868" s="67"/>
      <c r="P868" s="68"/>
    </row>
    <row r="869">
      <c r="J869" s="63"/>
      <c r="K869" s="64"/>
      <c r="L869" s="65"/>
      <c r="M869" s="66"/>
      <c r="N869" s="67"/>
      <c r="P869" s="68"/>
    </row>
    <row r="870">
      <c r="J870" s="63"/>
      <c r="K870" s="64"/>
      <c r="L870" s="65"/>
      <c r="M870" s="66"/>
      <c r="N870" s="67"/>
      <c r="P870" s="68"/>
    </row>
    <row r="871">
      <c r="J871" s="63"/>
      <c r="K871" s="64"/>
      <c r="L871" s="65"/>
      <c r="M871" s="66"/>
      <c r="N871" s="67"/>
      <c r="P871" s="68"/>
    </row>
    <row r="872">
      <c r="J872" s="63"/>
      <c r="K872" s="64"/>
      <c r="L872" s="65"/>
      <c r="M872" s="66"/>
      <c r="N872" s="67"/>
      <c r="P872" s="68"/>
    </row>
    <row r="873">
      <c r="J873" s="63"/>
      <c r="K873" s="64"/>
      <c r="L873" s="65"/>
      <c r="M873" s="66"/>
      <c r="N873" s="67"/>
      <c r="P873" s="68"/>
    </row>
    <row r="874">
      <c r="J874" s="63"/>
      <c r="K874" s="64"/>
      <c r="L874" s="65"/>
      <c r="M874" s="66"/>
      <c r="N874" s="67"/>
      <c r="P874" s="68"/>
    </row>
    <row r="875">
      <c r="J875" s="63"/>
      <c r="K875" s="64"/>
      <c r="L875" s="65"/>
      <c r="M875" s="66"/>
      <c r="N875" s="67"/>
      <c r="P875" s="68"/>
    </row>
    <row r="876">
      <c r="J876" s="63"/>
      <c r="K876" s="64"/>
      <c r="L876" s="65"/>
      <c r="M876" s="66"/>
      <c r="N876" s="67"/>
      <c r="P876" s="68"/>
    </row>
    <row r="877">
      <c r="J877" s="63"/>
      <c r="K877" s="64"/>
      <c r="L877" s="65"/>
      <c r="M877" s="66"/>
      <c r="N877" s="67"/>
      <c r="P877" s="68"/>
    </row>
    <row r="878">
      <c r="J878" s="63"/>
      <c r="K878" s="64"/>
      <c r="L878" s="65"/>
      <c r="M878" s="66"/>
      <c r="N878" s="67"/>
      <c r="P878" s="68"/>
    </row>
    <row r="879">
      <c r="J879" s="63"/>
      <c r="K879" s="64"/>
      <c r="L879" s="65"/>
      <c r="M879" s="66"/>
      <c r="N879" s="67"/>
      <c r="P879" s="68"/>
    </row>
    <row r="880">
      <c r="J880" s="63"/>
      <c r="K880" s="64"/>
      <c r="L880" s="65"/>
      <c r="M880" s="66"/>
      <c r="N880" s="67"/>
      <c r="P880" s="68"/>
    </row>
    <row r="881">
      <c r="J881" s="63"/>
      <c r="K881" s="64"/>
      <c r="L881" s="65"/>
      <c r="M881" s="66"/>
      <c r="N881" s="67"/>
      <c r="P881" s="68"/>
    </row>
    <row r="882">
      <c r="J882" s="63"/>
      <c r="K882" s="64"/>
      <c r="L882" s="65"/>
      <c r="M882" s="66"/>
      <c r="N882" s="67"/>
      <c r="P882" s="68"/>
    </row>
    <row r="883">
      <c r="J883" s="63"/>
      <c r="K883" s="64"/>
      <c r="L883" s="65"/>
      <c r="M883" s="66"/>
      <c r="N883" s="67"/>
      <c r="P883" s="68"/>
    </row>
    <row r="884">
      <c r="J884" s="63"/>
      <c r="K884" s="64"/>
      <c r="L884" s="65"/>
      <c r="M884" s="66"/>
      <c r="N884" s="67"/>
      <c r="P884" s="68"/>
    </row>
    <row r="885">
      <c r="J885" s="63"/>
      <c r="K885" s="64"/>
      <c r="L885" s="65"/>
      <c r="M885" s="66"/>
      <c r="N885" s="67"/>
      <c r="P885" s="68"/>
    </row>
    <row r="886">
      <c r="J886" s="63"/>
      <c r="K886" s="64"/>
      <c r="L886" s="65"/>
      <c r="M886" s="66"/>
      <c r="N886" s="67"/>
      <c r="P886" s="68"/>
    </row>
    <row r="887">
      <c r="J887" s="63"/>
      <c r="K887" s="64"/>
      <c r="L887" s="65"/>
      <c r="M887" s="66"/>
      <c r="N887" s="67"/>
      <c r="P887" s="68"/>
    </row>
    <row r="888">
      <c r="J888" s="63"/>
      <c r="K888" s="64"/>
      <c r="L888" s="65"/>
      <c r="M888" s="66"/>
      <c r="N888" s="67"/>
      <c r="P888" s="68"/>
    </row>
    <row r="889">
      <c r="J889" s="63"/>
      <c r="K889" s="64"/>
      <c r="L889" s="65"/>
      <c r="M889" s="66"/>
      <c r="N889" s="67"/>
      <c r="P889" s="68"/>
    </row>
    <row r="890">
      <c r="J890" s="63"/>
      <c r="K890" s="64"/>
      <c r="L890" s="65"/>
      <c r="M890" s="66"/>
      <c r="N890" s="67"/>
      <c r="P890" s="68"/>
    </row>
    <row r="891">
      <c r="J891" s="63"/>
      <c r="K891" s="64"/>
      <c r="L891" s="65"/>
      <c r="M891" s="66"/>
      <c r="N891" s="67"/>
      <c r="P891" s="68"/>
    </row>
    <row r="892">
      <c r="J892" s="63"/>
      <c r="K892" s="64"/>
      <c r="L892" s="65"/>
      <c r="M892" s="66"/>
      <c r="N892" s="67"/>
      <c r="P892" s="68"/>
    </row>
    <row r="893">
      <c r="J893" s="63"/>
      <c r="K893" s="64"/>
      <c r="L893" s="65"/>
      <c r="M893" s="66"/>
      <c r="N893" s="67"/>
      <c r="P893" s="68"/>
    </row>
    <row r="894">
      <c r="J894" s="63"/>
      <c r="K894" s="64"/>
      <c r="L894" s="65"/>
      <c r="M894" s="66"/>
      <c r="N894" s="67"/>
      <c r="P894" s="68"/>
    </row>
    <row r="895">
      <c r="J895" s="63"/>
      <c r="K895" s="64"/>
      <c r="L895" s="65"/>
      <c r="M895" s="66"/>
      <c r="N895" s="67"/>
      <c r="P895" s="68"/>
    </row>
    <row r="896">
      <c r="J896" s="63"/>
      <c r="K896" s="64"/>
      <c r="L896" s="65"/>
      <c r="M896" s="66"/>
      <c r="N896" s="67"/>
      <c r="P896" s="68"/>
    </row>
    <row r="897">
      <c r="J897" s="63"/>
      <c r="K897" s="64"/>
      <c r="L897" s="65"/>
      <c r="M897" s="66"/>
      <c r="N897" s="67"/>
      <c r="P897" s="68"/>
    </row>
    <row r="898">
      <c r="J898" s="63"/>
      <c r="K898" s="64"/>
      <c r="L898" s="65"/>
      <c r="M898" s="66"/>
      <c r="N898" s="67"/>
      <c r="P898" s="68"/>
    </row>
    <row r="899">
      <c r="J899" s="63"/>
      <c r="K899" s="64"/>
      <c r="L899" s="65"/>
      <c r="M899" s="66"/>
      <c r="N899" s="67"/>
      <c r="P899" s="68"/>
    </row>
    <row r="900">
      <c r="J900" s="63"/>
      <c r="K900" s="64"/>
      <c r="L900" s="65"/>
      <c r="M900" s="66"/>
      <c r="N900" s="67"/>
      <c r="P900" s="68"/>
    </row>
    <row r="901">
      <c r="J901" s="63"/>
      <c r="K901" s="64"/>
      <c r="L901" s="65"/>
      <c r="M901" s="66"/>
      <c r="N901" s="67"/>
      <c r="P901" s="68"/>
    </row>
    <row r="902">
      <c r="J902" s="63"/>
      <c r="K902" s="64"/>
      <c r="L902" s="65"/>
      <c r="M902" s="66"/>
      <c r="N902" s="67"/>
      <c r="P902" s="68"/>
    </row>
    <row r="903">
      <c r="J903" s="63"/>
      <c r="K903" s="64"/>
      <c r="L903" s="65"/>
      <c r="M903" s="66"/>
      <c r="N903" s="67"/>
      <c r="P903" s="68"/>
    </row>
    <row r="904">
      <c r="J904" s="63"/>
      <c r="K904" s="64"/>
      <c r="L904" s="65"/>
      <c r="M904" s="66"/>
      <c r="N904" s="67"/>
      <c r="P904" s="68"/>
    </row>
    <row r="905">
      <c r="J905" s="63"/>
      <c r="K905" s="64"/>
      <c r="L905" s="65"/>
      <c r="M905" s="66"/>
      <c r="N905" s="67"/>
      <c r="P905" s="68"/>
    </row>
    <row r="906">
      <c r="J906" s="63"/>
      <c r="K906" s="64"/>
      <c r="L906" s="65"/>
      <c r="M906" s="66"/>
      <c r="N906" s="67"/>
      <c r="P906" s="68"/>
    </row>
    <row r="907">
      <c r="J907" s="63"/>
      <c r="K907" s="64"/>
      <c r="L907" s="65"/>
      <c r="M907" s="66"/>
      <c r="N907" s="67"/>
      <c r="P907" s="68"/>
    </row>
    <row r="908">
      <c r="J908" s="63"/>
      <c r="K908" s="64"/>
      <c r="L908" s="65"/>
      <c r="M908" s="66"/>
      <c r="N908" s="67"/>
      <c r="P908" s="68"/>
    </row>
    <row r="909">
      <c r="J909" s="63"/>
      <c r="K909" s="64"/>
      <c r="L909" s="65"/>
      <c r="M909" s="66"/>
      <c r="N909" s="67"/>
      <c r="P909" s="68"/>
    </row>
    <row r="910">
      <c r="J910" s="63"/>
      <c r="K910" s="64"/>
      <c r="L910" s="65"/>
      <c r="M910" s="66"/>
      <c r="N910" s="67"/>
      <c r="P910" s="68"/>
    </row>
    <row r="911">
      <c r="J911" s="63"/>
      <c r="K911" s="64"/>
      <c r="L911" s="65"/>
      <c r="M911" s="66"/>
      <c r="N911" s="67"/>
      <c r="P911" s="68"/>
    </row>
    <row r="912">
      <c r="J912" s="63"/>
      <c r="K912" s="64"/>
      <c r="L912" s="65"/>
      <c r="M912" s="66"/>
      <c r="N912" s="67"/>
      <c r="P912" s="68"/>
    </row>
    <row r="913">
      <c r="J913" s="63"/>
      <c r="K913" s="64"/>
      <c r="L913" s="65"/>
      <c r="M913" s="66"/>
      <c r="N913" s="67"/>
      <c r="P913" s="68"/>
    </row>
    <row r="914">
      <c r="J914" s="63"/>
      <c r="K914" s="64"/>
      <c r="L914" s="65"/>
      <c r="M914" s="66"/>
      <c r="N914" s="67"/>
      <c r="P914" s="68"/>
    </row>
    <row r="915">
      <c r="J915" s="63"/>
      <c r="K915" s="64"/>
      <c r="L915" s="65"/>
      <c r="M915" s="66"/>
      <c r="N915" s="67"/>
      <c r="P915" s="68"/>
    </row>
    <row r="916">
      <c r="J916" s="63"/>
      <c r="K916" s="64"/>
      <c r="L916" s="65"/>
      <c r="M916" s="66"/>
      <c r="N916" s="67"/>
      <c r="P916" s="68"/>
    </row>
    <row r="917">
      <c r="J917" s="63"/>
      <c r="K917" s="64"/>
      <c r="L917" s="65"/>
      <c r="M917" s="66"/>
      <c r="N917" s="67"/>
      <c r="P917" s="68"/>
    </row>
    <row r="918">
      <c r="J918" s="63"/>
      <c r="K918" s="64"/>
      <c r="L918" s="65"/>
      <c r="M918" s="66"/>
      <c r="N918" s="67"/>
      <c r="P918" s="68"/>
    </row>
    <row r="919">
      <c r="J919" s="63"/>
      <c r="K919" s="64"/>
      <c r="L919" s="65"/>
      <c r="M919" s="66"/>
      <c r="N919" s="67"/>
      <c r="P919" s="68"/>
    </row>
    <row r="920">
      <c r="J920" s="63"/>
      <c r="K920" s="64"/>
      <c r="L920" s="65"/>
      <c r="M920" s="66"/>
      <c r="N920" s="67"/>
      <c r="P920" s="68"/>
    </row>
    <row r="921">
      <c r="J921" s="63"/>
      <c r="K921" s="64"/>
      <c r="L921" s="65"/>
      <c r="M921" s="66"/>
      <c r="N921" s="67"/>
      <c r="P921" s="68"/>
    </row>
    <row r="922">
      <c r="J922" s="63"/>
      <c r="K922" s="64"/>
      <c r="L922" s="65"/>
      <c r="M922" s="66"/>
      <c r="N922" s="67"/>
      <c r="P922" s="68"/>
    </row>
    <row r="923">
      <c r="J923" s="63"/>
      <c r="K923" s="64"/>
      <c r="L923" s="65"/>
      <c r="M923" s="66"/>
      <c r="N923" s="67"/>
      <c r="P923" s="68"/>
    </row>
    <row r="924">
      <c r="J924" s="63"/>
      <c r="K924" s="64"/>
      <c r="L924" s="65"/>
      <c r="M924" s="66"/>
      <c r="N924" s="67"/>
      <c r="P924" s="68"/>
    </row>
    <row r="925">
      <c r="J925" s="63"/>
      <c r="K925" s="64"/>
      <c r="L925" s="65"/>
      <c r="M925" s="66"/>
      <c r="N925" s="67"/>
      <c r="P925" s="68"/>
    </row>
    <row r="926">
      <c r="J926" s="63"/>
      <c r="K926" s="64"/>
      <c r="L926" s="65"/>
      <c r="M926" s="66"/>
      <c r="N926" s="67"/>
      <c r="P926" s="68"/>
    </row>
    <row r="927">
      <c r="J927" s="63"/>
      <c r="K927" s="64"/>
      <c r="L927" s="65"/>
      <c r="M927" s="66"/>
      <c r="N927" s="67"/>
      <c r="P927" s="68"/>
    </row>
    <row r="928">
      <c r="J928" s="63"/>
      <c r="K928" s="64"/>
      <c r="L928" s="65"/>
      <c r="M928" s="66"/>
      <c r="N928" s="67"/>
      <c r="P928" s="68"/>
    </row>
    <row r="929">
      <c r="J929" s="63"/>
      <c r="K929" s="64"/>
      <c r="L929" s="65"/>
      <c r="M929" s="66"/>
      <c r="N929" s="67"/>
      <c r="P929" s="68"/>
    </row>
    <row r="930">
      <c r="J930" s="63"/>
      <c r="K930" s="64"/>
      <c r="L930" s="65"/>
      <c r="M930" s="66"/>
      <c r="N930" s="67"/>
      <c r="P930" s="68"/>
    </row>
    <row r="931">
      <c r="J931" s="63"/>
      <c r="K931" s="64"/>
      <c r="L931" s="65"/>
      <c r="M931" s="66"/>
      <c r="N931" s="67"/>
      <c r="P931" s="68"/>
    </row>
    <row r="932">
      <c r="J932" s="63"/>
      <c r="K932" s="64"/>
      <c r="L932" s="65"/>
      <c r="M932" s="66"/>
      <c r="N932" s="67"/>
      <c r="P932" s="68"/>
    </row>
    <row r="933">
      <c r="J933" s="63"/>
      <c r="K933" s="64"/>
      <c r="L933" s="65"/>
      <c r="M933" s="66"/>
      <c r="N933" s="67"/>
      <c r="P933" s="68"/>
    </row>
    <row r="934">
      <c r="J934" s="63"/>
      <c r="K934" s="64"/>
      <c r="L934" s="65"/>
      <c r="M934" s="66"/>
      <c r="N934" s="67"/>
      <c r="P934" s="68"/>
    </row>
    <row r="935">
      <c r="J935" s="63"/>
      <c r="K935" s="64"/>
      <c r="L935" s="65"/>
      <c r="M935" s="66"/>
      <c r="N935" s="67"/>
      <c r="P935" s="68"/>
    </row>
    <row r="936">
      <c r="J936" s="63"/>
      <c r="K936" s="64"/>
      <c r="L936" s="65"/>
      <c r="M936" s="66"/>
      <c r="N936" s="67"/>
      <c r="P936" s="68"/>
    </row>
    <row r="937">
      <c r="J937" s="63"/>
      <c r="K937" s="64"/>
      <c r="L937" s="65"/>
      <c r="M937" s="66"/>
      <c r="N937" s="67"/>
      <c r="P937" s="68"/>
    </row>
    <row r="938">
      <c r="J938" s="63"/>
      <c r="K938" s="64"/>
      <c r="L938" s="65"/>
      <c r="M938" s="66"/>
      <c r="N938" s="67"/>
      <c r="P938" s="68"/>
    </row>
    <row r="939">
      <c r="J939" s="63"/>
      <c r="K939" s="64"/>
      <c r="L939" s="65"/>
      <c r="M939" s="66"/>
      <c r="N939" s="67"/>
      <c r="P939" s="68"/>
    </row>
    <row r="940">
      <c r="J940" s="63"/>
      <c r="K940" s="64"/>
      <c r="L940" s="65"/>
      <c r="M940" s="66"/>
      <c r="N940" s="67"/>
      <c r="P940" s="68"/>
    </row>
    <row r="941">
      <c r="J941" s="63"/>
      <c r="K941" s="64"/>
      <c r="L941" s="65"/>
      <c r="M941" s="66"/>
      <c r="N941" s="67"/>
      <c r="P941" s="68"/>
    </row>
    <row r="942">
      <c r="J942" s="63"/>
      <c r="K942" s="64"/>
      <c r="L942" s="65"/>
      <c r="M942" s="66"/>
      <c r="N942" s="67"/>
      <c r="P942" s="68"/>
    </row>
    <row r="943">
      <c r="J943" s="63"/>
      <c r="K943" s="64"/>
      <c r="L943" s="65"/>
      <c r="M943" s="66"/>
      <c r="N943" s="67"/>
      <c r="P943" s="68"/>
    </row>
    <row r="944">
      <c r="J944" s="63"/>
      <c r="K944" s="64"/>
      <c r="L944" s="65"/>
      <c r="M944" s="66"/>
      <c r="N944" s="67"/>
      <c r="P944" s="68"/>
    </row>
    <row r="945">
      <c r="J945" s="63"/>
      <c r="K945" s="64"/>
      <c r="L945" s="65"/>
      <c r="M945" s="66"/>
      <c r="N945" s="67"/>
      <c r="P945" s="68"/>
    </row>
    <row r="946">
      <c r="J946" s="63"/>
      <c r="K946" s="64"/>
      <c r="L946" s="65"/>
      <c r="M946" s="66"/>
      <c r="N946" s="67"/>
      <c r="P946" s="68"/>
    </row>
    <row r="947">
      <c r="J947" s="63"/>
      <c r="K947" s="64"/>
      <c r="L947" s="65"/>
      <c r="M947" s="66"/>
      <c r="N947" s="67"/>
      <c r="P947" s="68"/>
    </row>
    <row r="948">
      <c r="J948" s="63"/>
      <c r="K948" s="64"/>
      <c r="L948" s="65"/>
      <c r="M948" s="66"/>
      <c r="N948" s="67"/>
      <c r="P948" s="68"/>
    </row>
    <row r="949">
      <c r="J949" s="63"/>
      <c r="K949" s="64"/>
      <c r="L949" s="65"/>
      <c r="M949" s="66"/>
      <c r="N949" s="67"/>
      <c r="P949" s="68"/>
    </row>
    <row r="950">
      <c r="J950" s="63"/>
      <c r="K950" s="64"/>
      <c r="L950" s="65"/>
      <c r="M950" s="66"/>
      <c r="N950" s="67"/>
      <c r="P950" s="68"/>
    </row>
    <row r="951">
      <c r="J951" s="63"/>
      <c r="K951" s="64"/>
      <c r="L951" s="65"/>
      <c r="M951" s="66"/>
      <c r="N951" s="67"/>
      <c r="P951" s="68"/>
    </row>
    <row r="952">
      <c r="J952" s="63"/>
      <c r="K952" s="64"/>
      <c r="L952" s="65"/>
      <c r="M952" s="66"/>
      <c r="N952" s="67"/>
      <c r="P952" s="68"/>
    </row>
    <row r="953">
      <c r="J953" s="63"/>
      <c r="K953" s="64"/>
      <c r="L953" s="65"/>
      <c r="M953" s="66"/>
      <c r="N953" s="67"/>
      <c r="P953" s="68"/>
    </row>
    <row r="954">
      <c r="J954" s="63"/>
      <c r="K954" s="64"/>
      <c r="L954" s="65"/>
      <c r="M954" s="66"/>
      <c r="N954" s="67"/>
      <c r="P954" s="68"/>
    </row>
    <row r="955">
      <c r="J955" s="63"/>
      <c r="K955" s="64"/>
      <c r="L955" s="65"/>
      <c r="M955" s="66"/>
      <c r="N955" s="67"/>
      <c r="P955" s="68"/>
    </row>
    <row r="956">
      <c r="J956" s="63"/>
      <c r="K956" s="64"/>
      <c r="L956" s="65"/>
      <c r="M956" s="66"/>
      <c r="N956" s="67"/>
      <c r="P956" s="68"/>
    </row>
    <row r="957">
      <c r="J957" s="63"/>
      <c r="K957" s="64"/>
      <c r="L957" s="65"/>
      <c r="M957" s="66"/>
      <c r="N957" s="67"/>
      <c r="P957" s="68"/>
    </row>
    <row r="958">
      <c r="J958" s="63"/>
      <c r="K958" s="64"/>
      <c r="L958" s="65"/>
      <c r="M958" s="66"/>
      <c r="N958" s="67"/>
      <c r="P958" s="68"/>
    </row>
    <row r="959">
      <c r="J959" s="63"/>
      <c r="K959" s="64"/>
      <c r="L959" s="65"/>
      <c r="M959" s="66"/>
      <c r="N959" s="67"/>
      <c r="P959" s="68"/>
    </row>
    <row r="960">
      <c r="J960" s="63"/>
      <c r="K960" s="64"/>
      <c r="L960" s="65"/>
      <c r="M960" s="66"/>
      <c r="N960" s="67"/>
      <c r="P960" s="68"/>
    </row>
    <row r="961">
      <c r="J961" s="63"/>
      <c r="K961" s="64"/>
      <c r="L961" s="65"/>
      <c r="M961" s="66"/>
      <c r="N961" s="67"/>
      <c r="P961" s="68"/>
    </row>
    <row r="962">
      <c r="J962" s="63"/>
      <c r="K962" s="64"/>
      <c r="L962" s="65"/>
      <c r="M962" s="66"/>
      <c r="N962" s="67"/>
      <c r="P962" s="68"/>
    </row>
    <row r="963">
      <c r="J963" s="63"/>
      <c r="K963" s="64"/>
      <c r="L963" s="65"/>
      <c r="M963" s="66"/>
      <c r="N963" s="67"/>
      <c r="P963" s="68"/>
    </row>
    <row r="964">
      <c r="J964" s="63"/>
      <c r="K964" s="64"/>
      <c r="L964" s="65"/>
      <c r="M964" s="66"/>
      <c r="N964" s="67"/>
      <c r="P964" s="68"/>
    </row>
    <row r="965">
      <c r="J965" s="63"/>
      <c r="K965" s="64"/>
      <c r="L965" s="65"/>
      <c r="M965" s="66"/>
      <c r="N965" s="67"/>
      <c r="P965" s="68"/>
    </row>
    <row r="966">
      <c r="J966" s="63"/>
      <c r="K966" s="64"/>
      <c r="L966" s="65"/>
      <c r="M966" s="66"/>
      <c r="N966" s="67"/>
      <c r="P966" s="68"/>
    </row>
    <row r="967">
      <c r="J967" s="63"/>
      <c r="K967" s="64"/>
      <c r="L967" s="65"/>
      <c r="M967" s="66"/>
      <c r="N967" s="67"/>
      <c r="P967" s="68"/>
    </row>
    <row r="968">
      <c r="J968" s="63"/>
      <c r="K968" s="64"/>
      <c r="L968" s="65"/>
      <c r="M968" s="66"/>
      <c r="N968" s="67"/>
      <c r="P968" s="68"/>
    </row>
    <row r="969">
      <c r="J969" s="63"/>
      <c r="K969" s="64"/>
      <c r="L969" s="65"/>
      <c r="M969" s="66"/>
      <c r="N969" s="67"/>
      <c r="P969" s="68"/>
    </row>
    <row r="970">
      <c r="J970" s="63"/>
      <c r="K970" s="64"/>
      <c r="L970" s="65"/>
      <c r="M970" s="66"/>
      <c r="N970" s="67"/>
      <c r="P970" s="68"/>
    </row>
    <row r="971">
      <c r="J971" s="63"/>
      <c r="K971" s="64"/>
      <c r="L971" s="65"/>
      <c r="M971" s="66"/>
      <c r="N971" s="67"/>
      <c r="P971" s="68"/>
    </row>
    <row r="972">
      <c r="J972" s="63"/>
      <c r="K972" s="64"/>
      <c r="L972" s="65"/>
      <c r="M972" s="66"/>
      <c r="N972" s="67"/>
      <c r="P972" s="68"/>
    </row>
    <row r="973">
      <c r="J973" s="63"/>
      <c r="K973" s="64"/>
      <c r="L973" s="65"/>
      <c r="M973" s="66"/>
      <c r="N973" s="67"/>
      <c r="P973" s="68"/>
    </row>
    <row r="974">
      <c r="J974" s="63"/>
      <c r="K974" s="64"/>
      <c r="L974" s="65"/>
      <c r="M974" s="66"/>
      <c r="N974" s="67"/>
      <c r="P974" s="68"/>
    </row>
    <row r="975">
      <c r="J975" s="63"/>
      <c r="K975" s="64"/>
      <c r="L975" s="65"/>
      <c r="M975" s="66"/>
      <c r="N975" s="67"/>
      <c r="P975" s="68"/>
    </row>
    <row r="976">
      <c r="J976" s="63"/>
      <c r="K976" s="64"/>
      <c r="L976" s="65"/>
      <c r="M976" s="66"/>
      <c r="N976" s="67"/>
      <c r="P976" s="68"/>
    </row>
    <row r="977">
      <c r="J977" s="63"/>
      <c r="K977" s="64"/>
      <c r="L977" s="65"/>
      <c r="M977" s="66"/>
      <c r="N977" s="67"/>
      <c r="P977" s="68"/>
    </row>
    <row r="978">
      <c r="J978" s="63"/>
      <c r="K978" s="64"/>
      <c r="L978" s="65"/>
      <c r="M978" s="66"/>
      <c r="N978" s="67"/>
      <c r="P978" s="68"/>
    </row>
    <row r="979">
      <c r="J979" s="63"/>
      <c r="K979" s="64"/>
      <c r="L979" s="65"/>
      <c r="M979" s="66"/>
      <c r="N979" s="67"/>
      <c r="P979" s="68"/>
    </row>
    <row r="980">
      <c r="J980" s="63"/>
      <c r="K980" s="64"/>
      <c r="L980" s="65"/>
      <c r="M980" s="66"/>
      <c r="N980" s="67"/>
      <c r="P980" s="68"/>
    </row>
    <row r="981">
      <c r="J981" s="63"/>
      <c r="K981" s="64"/>
      <c r="L981" s="65"/>
      <c r="M981" s="66"/>
      <c r="N981" s="67"/>
      <c r="P981" s="68"/>
    </row>
    <row r="982">
      <c r="J982" s="63"/>
      <c r="K982" s="64"/>
      <c r="L982" s="65"/>
      <c r="M982" s="66"/>
      <c r="N982" s="67"/>
      <c r="P982" s="68"/>
    </row>
    <row r="983">
      <c r="J983" s="63"/>
      <c r="K983" s="64"/>
      <c r="L983" s="65"/>
      <c r="M983" s="66"/>
      <c r="N983" s="67"/>
      <c r="P983" s="68"/>
    </row>
    <row r="984">
      <c r="J984" s="63"/>
      <c r="K984" s="64"/>
      <c r="L984" s="65"/>
      <c r="M984" s="66"/>
      <c r="N984" s="67"/>
      <c r="P984" s="68"/>
    </row>
    <row r="985">
      <c r="J985" s="63"/>
      <c r="K985" s="64"/>
      <c r="L985" s="65"/>
      <c r="M985" s="66"/>
      <c r="N985" s="67"/>
      <c r="P985" s="68"/>
    </row>
    <row r="986">
      <c r="J986" s="63"/>
      <c r="K986" s="64"/>
      <c r="L986" s="65"/>
      <c r="M986" s="66"/>
      <c r="N986" s="67"/>
      <c r="P986" s="68"/>
    </row>
    <row r="987">
      <c r="J987" s="63"/>
      <c r="K987" s="64"/>
      <c r="L987" s="65"/>
      <c r="M987" s="66"/>
      <c r="N987" s="67"/>
      <c r="P987" s="68"/>
    </row>
    <row r="988">
      <c r="J988" s="63"/>
      <c r="K988" s="64"/>
      <c r="L988" s="65"/>
      <c r="M988" s="66"/>
      <c r="N988" s="67"/>
      <c r="P988" s="68"/>
    </row>
    <row r="989">
      <c r="J989" s="63"/>
      <c r="K989" s="64"/>
      <c r="L989" s="65"/>
      <c r="M989" s="66"/>
      <c r="N989" s="67"/>
      <c r="P989" s="68"/>
    </row>
    <row r="990">
      <c r="J990" s="63"/>
      <c r="K990" s="64"/>
      <c r="L990" s="65"/>
      <c r="M990" s="66"/>
      <c r="N990" s="67"/>
      <c r="P990" s="68"/>
    </row>
    <row r="991">
      <c r="J991" s="63"/>
      <c r="K991" s="64"/>
      <c r="L991" s="65"/>
      <c r="M991" s="66"/>
      <c r="N991" s="67"/>
      <c r="P991" s="68"/>
    </row>
    <row r="992">
      <c r="J992" s="63"/>
      <c r="K992" s="64"/>
      <c r="L992" s="65"/>
      <c r="M992" s="66"/>
      <c r="N992" s="67"/>
      <c r="P992" s="68"/>
    </row>
    <row r="993">
      <c r="J993" s="63"/>
      <c r="K993" s="64"/>
      <c r="L993" s="65"/>
      <c r="M993" s="66"/>
      <c r="N993" s="67"/>
      <c r="P993" s="68"/>
    </row>
    <row r="994">
      <c r="J994" s="63"/>
      <c r="K994" s="64"/>
      <c r="L994" s="65"/>
      <c r="M994" s="66"/>
      <c r="N994" s="67"/>
      <c r="P994" s="68"/>
    </row>
    <row r="995">
      <c r="J995" s="63"/>
      <c r="K995" s="64"/>
      <c r="L995" s="65"/>
      <c r="M995" s="66"/>
      <c r="N995" s="67"/>
      <c r="P995" s="68"/>
    </row>
    <row r="996">
      <c r="J996" s="63"/>
      <c r="K996" s="64"/>
      <c r="L996" s="65"/>
      <c r="M996" s="66"/>
      <c r="N996" s="67"/>
      <c r="P996" s="68"/>
    </row>
    <row r="997">
      <c r="J997" s="63"/>
      <c r="K997" s="64"/>
      <c r="L997" s="65"/>
      <c r="M997" s="66"/>
      <c r="N997" s="67"/>
      <c r="P997" s="68"/>
    </row>
    <row r="998">
      <c r="J998" s="63"/>
      <c r="K998" s="64"/>
      <c r="L998" s="65"/>
      <c r="M998" s="66"/>
      <c r="N998" s="67"/>
      <c r="P998" s="68"/>
    </row>
    <row r="999">
      <c r="J999" s="63"/>
      <c r="K999" s="64"/>
      <c r="L999" s="65"/>
      <c r="M999" s="66"/>
      <c r="N999" s="67"/>
      <c r="P999" s="68"/>
    </row>
    <row r="1000">
      <c r="J1000" s="63"/>
      <c r="K1000" s="64"/>
      <c r="L1000" s="65"/>
      <c r="M1000" s="66"/>
      <c r="N1000" s="67"/>
      <c r="P1000" s="68"/>
    </row>
    <row r="1001">
      <c r="J1001" s="63"/>
      <c r="K1001" s="64"/>
      <c r="L1001" s="65"/>
      <c r="M1001" s="66"/>
      <c r="N1001" s="67"/>
      <c r="P1001" s="68"/>
    </row>
    <row r="1002">
      <c r="J1002" s="63"/>
      <c r="K1002" s="64"/>
      <c r="L1002" s="65"/>
      <c r="M1002" s="66"/>
      <c r="N1002" s="67"/>
      <c r="P1002" s="68"/>
    </row>
    <row r="1003">
      <c r="J1003" s="63"/>
      <c r="K1003" s="64"/>
      <c r="L1003" s="65"/>
      <c r="M1003" s="66"/>
      <c r="N1003" s="67"/>
      <c r="P1003" s="68"/>
    </row>
    <row r="1004">
      <c r="J1004" s="63"/>
      <c r="K1004" s="64"/>
      <c r="L1004" s="65"/>
      <c r="M1004" s="66"/>
      <c r="N1004" s="67"/>
      <c r="P1004" s="68"/>
    </row>
    <row r="1005">
      <c r="J1005" s="63"/>
      <c r="K1005" s="64"/>
      <c r="L1005" s="65"/>
      <c r="M1005" s="66"/>
      <c r="N1005" s="67"/>
      <c r="P1005" s="68"/>
    </row>
  </sheetData>
  <autoFilter ref="$A$7:$P$51">
    <sortState ref="A7:P51">
      <sortCondition descending="1" ref="L7:L51"/>
      <sortCondition descending="1" ref="P7:P51"/>
      <sortCondition descending="1" ref="I7:I51"/>
      <sortCondition descending="1" ref="F7:F51"/>
      <sortCondition descending="1" ref="H7:H51"/>
      <sortCondition descending="1" ref="G7:G51"/>
      <sortCondition descending="1" ref="E7:E51"/>
      <sortCondition descending="1" ref="D7:D51"/>
      <sortCondition descending="1" ref="C7:C51"/>
      <sortCondition descending="1" ref="B7:B51"/>
    </sortState>
  </autoFilter>
  <mergeCells count="3">
    <mergeCell ref="B1:I1"/>
    <mergeCell ref="B2:I2"/>
    <mergeCell ref="G4:H4"/>
  </mergeCells>
  <conditionalFormatting sqref="B8:I51">
    <cfRule type="colorScale" priority="1">
      <colorScale>
        <cfvo type="min"/>
        <cfvo type="percentile" val="40"/>
        <cfvo type="max"/>
        <color rgb="FFE67C73"/>
        <color rgb="FFFFFFFF"/>
        <color rgb="FFD9EAD3"/>
      </colorScale>
    </cfRule>
  </conditionalFormatting>
  <dataValidations>
    <dataValidation type="list" allowBlank="1" showErrorMessage="1" sqref="N8:N51">
      <formula1>"C,S,P,A"</formula1>
    </dataValidation>
  </dataValidations>
  <drawing r:id="rId1"/>
</worksheet>
</file>